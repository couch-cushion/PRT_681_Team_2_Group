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ddk9\Downloads\"/>
    </mc:Choice>
  </mc:AlternateContent>
  <xr:revisionPtr revIDLastSave="0" documentId="8_{63A9DB7C-88E3-4CDA-877B-79D6908719CA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Sales Data" sheetId="1" r:id="rId1"/>
    <sheet name="Calculations" sheetId="2" r:id="rId2"/>
    <sheet name="Visual 1" sheetId="3" r:id="rId3"/>
    <sheet name="Visual 2" sheetId="4" r:id="rId4"/>
    <sheet name="Visual 3" sheetId="5" r:id="rId5"/>
    <sheet name="Visual 4" sheetId="6" r:id="rId6"/>
    <sheet name="Visual 5" sheetId="7" r:id="rId7"/>
    <sheet name="Main Dashboard" sheetId="8" r:id="rId8"/>
  </sheets>
  <calcPr calcId="191029"/>
</workbook>
</file>

<file path=xl/calcChain.xml><?xml version="1.0" encoding="utf-8"?>
<calcChain xmlns="http://schemas.openxmlformats.org/spreadsheetml/2006/main">
  <c r="P4" i="8" l="1"/>
  <c r="K4" i="8"/>
  <c r="C37" i="2"/>
  <c r="B37" i="2"/>
  <c r="C36" i="2"/>
  <c r="B36" i="2"/>
  <c r="C35" i="2"/>
  <c r="B35" i="2"/>
  <c r="C34" i="2"/>
  <c r="B34" i="2"/>
  <c r="C33" i="2"/>
  <c r="B33" i="2"/>
  <c r="C32" i="2"/>
  <c r="B32" i="2"/>
  <c r="C31" i="2"/>
  <c r="B31" i="2"/>
  <c r="C30" i="2"/>
  <c r="B30" i="2"/>
  <c r="C29" i="2"/>
  <c r="B29" i="2"/>
  <c r="C28" i="2"/>
  <c r="B28" i="2"/>
  <c r="C27" i="2"/>
  <c r="B27" i="2"/>
  <c r="C26" i="2"/>
  <c r="B26" i="2"/>
  <c r="C25" i="2"/>
  <c r="B25" i="2"/>
  <c r="C24" i="2"/>
  <c r="B24" i="2"/>
  <c r="C23" i="2"/>
  <c r="B23" i="2"/>
  <c r="C22" i="2"/>
  <c r="B22" i="2"/>
  <c r="C21" i="2"/>
  <c r="B21" i="2"/>
  <c r="C20" i="2"/>
  <c r="B20" i="2"/>
  <c r="C19" i="2"/>
  <c r="B19" i="2"/>
  <c r="C18" i="2"/>
  <c r="B18" i="2"/>
  <c r="C17" i="2"/>
  <c r="B17" i="2"/>
  <c r="C16" i="2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R6" i="2"/>
  <c r="C6" i="2"/>
  <c r="B6" i="2"/>
  <c r="R5" i="2"/>
  <c r="O5" i="2"/>
  <c r="N5" i="2"/>
  <c r="M5" i="2"/>
  <c r="G5" i="2"/>
  <c r="F5" i="2"/>
  <c r="C5" i="2"/>
  <c r="B5" i="2"/>
  <c r="R4" i="2"/>
  <c r="O4" i="2"/>
  <c r="N4" i="2"/>
  <c r="M4" i="2"/>
  <c r="J4" i="2"/>
  <c r="G4" i="2"/>
  <c r="F4" i="2"/>
  <c r="C4" i="2"/>
  <c r="B4" i="2"/>
  <c r="R3" i="2"/>
  <c r="O3" i="2"/>
  <c r="N3" i="2"/>
  <c r="M3" i="2"/>
  <c r="J3" i="2"/>
  <c r="G3" i="2"/>
  <c r="F3" i="2"/>
  <c r="C3" i="2"/>
  <c r="B3" i="2"/>
  <c r="R2" i="2"/>
  <c r="O2" i="2"/>
  <c r="N2" i="2"/>
  <c r="M2" i="2"/>
  <c r="J2" i="2"/>
  <c r="G2" i="2"/>
  <c r="F2" i="2"/>
  <c r="C2" i="2"/>
  <c r="B2" i="2"/>
</calcChain>
</file>

<file path=xl/sharedStrings.xml><?xml version="1.0" encoding="utf-8"?>
<sst xmlns="http://schemas.openxmlformats.org/spreadsheetml/2006/main" count="11816" uniqueCount="1365">
  <si>
    <t>Order ID</t>
  </si>
  <si>
    <t>Order Date</t>
  </si>
  <si>
    <t>Year</t>
  </si>
  <si>
    <t>Quarter</t>
  </si>
  <si>
    <t>Month</t>
  </si>
  <si>
    <t>Region</t>
  </si>
  <si>
    <t>State/Territory</t>
  </si>
  <si>
    <t>City</t>
  </si>
  <si>
    <t>Customer Segment</t>
  </si>
  <si>
    <t>Customer ID</t>
  </si>
  <si>
    <t>Category</t>
  </si>
  <si>
    <t>Subcategory</t>
  </si>
  <si>
    <t>Product</t>
  </si>
  <si>
    <t>Sales Channel</t>
  </si>
  <si>
    <t>Unit Price</t>
  </si>
  <si>
    <t>Quantity</t>
  </si>
  <si>
    <t>Discount</t>
  </si>
  <si>
    <t>Revenue</t>
  </si>
  <si>
    <t>Unit Cost</t>
  </si>
  <si>
    <t>Total Cost</t>
  </si>
  <si>
    <t>Profit</t>
  </si>
  <si>
    <t>Profit Margin</t>
  </si>
  <si>
    <t>Delivery Days</t>
  </si>
  <si>
    <t>Returned</t>
  </si>
  <si>
    <t>Satisfaction Score</t>
  </si>
  <si>
    <t>ORD-2023-0273</t>
  </si>
  <si>
    <t>Q1</t>
  </si>
  <si>
    <t>Jan</t>
  </si>
  <si>
    <t>West</t>
  </si>
  <si>
    <t>WA</t>
  </si>
  <si>
    <t>Perth</t>
  </si>
  <si>
    <t>Consumer</t>
  </si>
  <si>
    <t>CUS-1105</t>
  </si>
  <si>
    <t>Furniture</t>
  </si>
  <si>
    <t>Chairs</t>
  </si>
  <si>
    <t>Visitor Chair</t>
  </si>
  <si>
    <t>Retail Store</t>
  </si>
  <si>
    <t>No</t>
  </si>
  <si>
    <t>ORD-2023-0313</t>
  </si>
  <si>
    <t>South</t>
  </si>
  <si>
    <t>SA</t>
  </si>
  <si>
    <t>Adelaide</t>
  </si>
  <si>
    <t>Corporate</t>
  </si>
  <si>
    <t>CUS-1182</t>
  </si>
  <si>
    <t>Corporate Sales</t>
  </si>
  <si>
    <t>ORD-2023-0626</t>
  </si>
  <si>
    <t>CUS-1036</t>
  </si>
  <si>
    <t>Office Supplies</t>
  </si>
  <si>
    <t>Paper</t>
  </si>
  <si>
    <t>Premium Notebook Pack</t>
  </si>
  <si>
    <t>ORD-2023-0067</t>
  </si>
  <si>
    <t>North</t>
  </si>
  <si>
    <t>NT</t>
  </si>
  <si>
    <t>Darwin</t>
  </si>
  <si>
    <t>CUS-1129</t>
  </si>
  <si>
    <t>Organisation</t>
  </si>
  <si>
    <t>Desk Organiser</t>
  </si>
  <si>
    <t>Online</t>
  </si>
  <si>
    <t>Yes</t>
  </si>
  <si>
    <t>ORD-2023-0474</t>
  </si>
  <si>
    <t>Geraldton</t>
  </si>
  <si>
    <t>Technology</t>
  </si>
  <si>
    <t>Accessories</t>
  </si>
  <si>
    <t>Wireless Keyboard</t>
  </si>
  <si>
    <t>ORD-2023-0249</t>
  </si>
  <si>
    <t>East</t>
  </si>
  <si>
    <t>ACT</t>
  </si>
  <si>
    <t>Canberra</t>
  </si>
  <si>
    <t>CUS-1088</t>
  </si>
  <si>
    <t>Archive Box Pack</t>
  </si>
  <si>
    <t>ORD-2023-0556</t>
  </si>
  <si>
    <t>Education</t>
  </si>
  <si>
    <t>CUS-1185</t>
  </si>
  <si>
    <t>Desks</t>
  </si>
  <si>
    <t>Standing Desk</t>
  </si>
  <si>
    <t>ORD-2023-0086</t>
  </si>
  <si>
    <t>NSW</t>
  </si>
  <si>
    <t>Sydney</t>
  </si>
  <si>
    <t>Small Business</t>
  </si>
  <si>
    <t>CUS-1222</t>
  </si>
  <si>
    <t>Computers</t>
  </si>
  <si>
    <t>Core Desktop</t>
  </si>
  <si>
    <t>ORD-2023-0149</t>
  </si>
  <si>
    <t>CUS-1275</t>
  </si>
  <si>
    <t>Phones</t>
  </si>
  <si>
    <t>Business Headset</t>
  </si>
  <si>
    <t>ORD-2023-0421</t>
  </si>
  <si>
    <t>CUS-1177</t>
  </si>
  <si>
    <t>Storage</t>
  </si>
  <si>
    <t>Two-Drawer Cabinet</t>
  </si>
  <si>
    <t>ORD-2023-0453</t>
  </si>
  <si>
    <t>VIC</t>
  </si>
  <si>
    <t>Melbourne</t>
  </si>
  <si>
    <t>CUS-1259</t>
  </si>
  <si>
    <t>ORD-2023-0819</t>
  </si>
  <si>
    <t>CUS-1285</t>
  </si>
  <si>
    <t>ORD-2023-0034</t>
  </si>
  <si>
    <t>QLD</t>
  </si>
  <si>
    <t>Cairns</t>
  </si>
  <si>
    <t>CUS-1154</t>
  </si>
  <si>
    <t>Bookcase</t>
  </si>
  <si>
    <t>ORD-2023-0142</t>
  </si>
  <si>
    <t>Katherine</t>
  </si>
  <si>
    <t>CUS-1029</t>
  </si>
  <si>
    <t>A4 Copy Paper Box</t>
  </si>
  <si>
    <t>ORD-2023-0542</t>
  </si>
  <si>
    <t>Broome</t>
  </si>
  <si>
    <t>CUS-1181</t>
  </si>
  <si>
    <t>ORD-2023-0160</t>
  </si>
  <si>
    <t>CUS-1255</t>
  </si>
  <si>
    <t>ORD-2023-0196</t>
  </si>
  <si>
    <t>TAS</t>
  </si>
  <si>
    <t>Hobart</t>
  </si>
  <si>
    <t>CUS-1044</t>
  </si>
  <si>
    <t>Writing</t>
  </si>
  <si>
    <t>Gel Pen Set</t>
  </si>
  <si>
    <t>ORD-2023-0312</t>
  </si>
  <si>
    <t>CUS-1265</t>
  </si>
  <si>
    <t>ORD-2023-0393</t>
  </si>
  <si>
    <t>CUS-1188</t>
  </si>
  <si>
    <t>Whiteboard Marker Pack</t>
  </si>
  <si>
    <t>ORD-2023-0560</t>
  </si>
  <si>
    <t>CUS-1054</t>
  </si>
  <si>
    <t>ORD-2023-0066</t>
  </si>
  <si>
    <t>CUS-1298</t>
  </si>
  <si>
    <t>ORD-2023-0687</t>
  </si>
  <si>
    <t>Newcastle</t>
  </si>
  <si>
    <t>CUS-1002</t>
  </si>
  <si>
    <t>ORD-2023-0798</t>
  </si>
  <si>
    <t>CUS-1244</t>
  </si>
  <si>
    <t>ORD-2023-0185</t>
  </si>
  <si>
    <t>Feb</t>
  </si>
  <si>
    <t>CUS-1162</t>
  </si>
  <si>
    <t>ORD-2023-0324</t>
  </si>
  <si>
    <t>CUS-1082</t>
  </si>
  <si>
    <t>Nova Smartphone</t>
  </si>
  <si>
    <t>ORD-2023-0167</t>
  </si>
  <si>
    <t>CUS-1052</t>
  </si>
  <si>
    <t>Compact Desk</t>
  </si>
  <si>
    <t>ORD-2023-0240</t>
  </si>
  <si>
    <t>CUS-1319</t>
  </si>
  <si>
    <t>ORD-2023-0575</t>
  </si>
  <si>
    <t>CUS-1269</t>
  </si>
  <si>
    <t>ORD-2023-0656</t>
  </si>
  <si>
    <t>CUS-1123</t>
  </si>
  <si>
    <t>ORD-2023-0209</t>
  </si>
  <si>
    <t>CUS-1151</t>
  </si>
  <si>
    <t>ORD-2023-0458</t>
  </si>
  <si>
    <t>CUS-1001</t>
  </si>
  <si>
    <t>ORD-2023-0139</t>
  </si>
  <si>
    <t>Ergo Office Chair</t>
  </si>
  <si>
    <t>ORD-2023-0503</t>
  </si>
  <si>
    <t>CUS-1295</t>
  </si>
  <si>
    <t>ORD-2023-0674</t>
  </si>
  <si>
    <t>CUS-1121</t>
  </si>
  <si>
    <t>ORD-2023-0114</t>
  </si>
  <si>
    <t>CUS-1026</t>
  </si>
  <si>
    <t>ORD-2023-0508</t>
  </si>
  <si>
    <t>CUS-1280</t>
  </si>
  <si>
    <t>ORD-2023-0166</t>
  </si>
  <si>
    <t>ORD-2023-0648</t>
  </si>
  <si>
    <t>CUS-1153</t>
  </si>
  <si>
    <t>ORD-2023-0505</t>
  </si>
  <si>
    <t>Mar</t>
  </si>
  <si>
    <t>CUS-1235</t>
  </si>
  <si>
    <t>ORD-2023-0424</t>
  </si>
  <si>
    <t>ORD-2023-0425</t>
  </si>
  <si>
    <t>CUS-1010</t>
  </si>
  <si>
    <t>ORD-2023-0467</t>
  </si>
  <si>
    <t>CUS-1273</t>
  </si>
  <si>
    <t>ORD-2023-0204</t>
  </si>
  <si>
    <t>CUS-1087</t>
  </si>
  <si>
    <t>ORD-2023-0803</t>
  </si>
  <si>
    <t>CUS-1093</t>
  </si>
  <si>
    <t>ORD-2023-0679</t>
  </si>
  <si>
    <t>CUS-1067</t>
  </si>
  <si>
    <t>ORD-2023-0787</t>
  </si>
  <si>
    <t>CUS-1287</t>
  </si>
  <si>
    <t>ORD-2023-0711</t>
  </si>
  <si>
    <t>CUS-1046</t>
  </si>
  <si>
    <t>ORD-2023-0849</t>
  </si>
  <si>
    <t>CUS-1228</t>
  </si>
  <si>
    <t>ORD-2023-0862</t>
  </si>
  <si>
    <t>CUS-1183</t>
  </si>
  <si>
    <t>ORD-2023-0325</t>
  </si>
  <si>
    <t>CUS-1178</t>
  </si>
  <si>
    <t>ORD-2023-0738</t>
  </si>
  <si>
    <t>Apex Laptop</t>
  </si>
  <si>
    <t>ORD-2023-0413</t>
  </si>
  <si>
    <t>CUS-1172</t>
  </si>
  <si>
    <t>ORD-2023-0689</t>
  </si>
  <si>
    <t>ORD-2023-0892</t>
  </si>
  <si>
    <t>CUS-1051</t>
  </si>
  <si>
    <t>ORD-2023-0428</t>
  </si>
  <si>
    <t>CUS-1023</t>
  </si>
  <si>
    <t>USB-C Hub</t>
  </si>
  <si>
    <t>ORD-2023-0662</t>
  </si>
  <si>
    <t>CUS-1112</t>
  </si>
  <si>
    <t>ORD-2023-0706</t>
  </si>
  <si>
    <t>CUS-1302</t>
  </si>
  <si>
    <t>ORD-2023-0511</t>
  </si>
  <si>
    <t>CUS-1152</t>
  </si>
  <si>
    <t>ORD-2023-0318</t>
  </si>
  <si>
    <t>CUS-1060</t>
  </si>
  <si>
    <t>ORD-2023-0500</t>
  </si>
  <si>
    <t>CUS-1018</t>
  </si>
  <si>
    <t>ORD-2023-0690</t>
  </si>
  <si>
    <t>CUS-1253</t>
  </si>
  <si>
    <t>ORD-2023-0065</t>
  </si>
  <si>
    <t>CUS-1117</t>
  </si>
  <si>
    <t>ORD-2023-0818</t>
  </si>
  <si>
    <t>CUS-1218</t>
  </si>
  <si>
    <t>ORD-2023-0541</t>
  </si>
  <si>
    <t>CUS-1013</t>
  </si>
  <si>
    <t>ORD-2023-0573</t>
  </si>
  <si>
    <t>CUS-1210</t>
  </si>
  <si>
    <t>ORD-2023-0805</t>
  </si>
  <si>
    <t>CUS-1294</t>
  </si>
  <si>
    <t>ORD-2023-0226</t>
  </si>
  <si>
    <t>ORD-2023-0824</t>
  </si>
  <si>
    <t>CUS-1025</t>
  </si>
  <si>
    <t>ORD-2023-0151</t>
  </si>
  <si>
    <t>ORD-2023-0460</t>
  </si>
  <si>
    <t>CUS-1096</t>
  </si>
  <si>
    <t>ORD-2023-0189</t>
  </si>
  <si>
    <t>CUS-1064</t>
  </si>
  <si>
    <t>ORD-2023-0683</t>
  </si>
  <si>
    <t>CUS-1290</t>
  </si>
  <si>
    <t>ORD-2023-0278</t>
  </si>
  <si>
    <t>Q2</t>
  </si>
  <si>
    <t>Apr</t>
  </si>
  <si>
    <t>CUS-1050</t>
  </si>
  <si>
    <t>ORD-2023-0172</t>
  </si>
  <si>
    <t>CUS-1138</t>
  </si>
  <si>
    <t>ORD-2023-0243</t>
  </si>
  <si>
    <t>CUS-1085</t>
  </si>
  <si>
    <t>ORD-2023-0554</t>
  </si>
  <si>
    <t>CUS-1125</t>
  </si>
  <si>
    <t>ORD-2023-0090</t>
  </si>
  <si>
    <t>CUS-1316</t>
  </si>
  <si>
    <t>ORD-2023-0323</t>
  </si>
  <si>
    <t>ORD-2023-0254</t>
  </si>
  <si>
    <t>ORD-2023-0427</t>
  </si>
  <si>
    <t>CUS-1238</t>
  </si>
  <si>
    <t>ORD-2023-0807</t>
  </si>
  <si>
    <t>ORD-2023-0465</t>
  </si>
  <si>
    <t>CUS-1180</t>
  </si>
  <si>
    <t>ORD-2023-0476</t>
  </si>
  <si>
    <t>CUS-1270</t>
  </si>
  <si>
    <t>ORD-2023-0589</t>
  </si>
  <si>
    <t>CUS-1022</t>
  </si>
  <si>
    <t>ORD-2023-0875</t>
  </si>
  <si>
    <t>CUS-1208</t>
  </si>
  <si>
    <t>ORD-2023-0612</t>
  </si>
  <si>
    <t>ORD-2023-0321</t>
  </si>
  <si>
    <t>ORD-2023-0513</t>
  </si>
  <si>
    <t>CUS-1258</t>
  </si>
  <si>
    <t>ORD-2023-0810</t>
  </si>
  <si>
    <t>CUS-1229</t>
  </si>
  <si>
    <t>ORD-2023-0584</t>
  </si>
  <si>
    <t>CUS-1030</t>
  </si>
  <si>
    <t>ORD-2023-0333</t>
  </si>
  <si>
    <t>CUS-1271</t>
  </si>
  <si>
    <t>ORD-2023-0256</t>
  </si>
  <si>
    <t>CUS-1243</t>
  </si>
  <si>
    <t>ORD-2023-0583</t>
  </si>
  <si>
    <t>CUS-1142</t>
  </si>
  <si>
    <t>ORD-2023-0069</t>
  </si>
  <si>
    <t>CUS-1313</t>
  </si>
  <si>
    <t>ORD-2023-0535</t>
  </si>
  <si>
    <t>CUS-1246</t>
  </si>
  <si>
    <t>ORD-2023-0720</t>
  </si>
  <si>
    <t>ORD-2023-0431</t>
  </si>
  <si>
    <t>CUS-1043</t>
  </si>
  <si>
    <t>ORD-2023-0890</t>
  </si>
  <si>
    <t>ORD-2023-0495</t>
  </si>
  <si>
    <t>CUS-1256</t>
  </si>
  <si>
    <t>ORD-2023-0181</t>
  </si>
  <si>
    <t>May</t>
  </si>
  <si>
    <t>CUS-1128</t>
  </si>
  <si>
    <t>ORD-2023-0568</t>
  </si>
  <si>
    <t>ORD-2023-0868</t>
  </si>
  <si>
    <t>CUS-1249</t>
  </si>
  <si>
    <t>ORD-2023-0651</t>
  </si>
  <si>
    <t>CUS-1168</t>
  </si>
  <si>
    <t>ORD-2023-0771</t>
  </si>
  <si>
    <t>CUS-1048</t>
  </si>
  <si>
    <t>ORD-2023-0492</t>
  </si>
  <si>
    <t>CUS-1189</t>
  </si>
  <si>
    <t>ORD-2023-0072</t>
  </si>
  <si>
    <t>CUS-1113</t>
  </si>
  <si>
    <t>ORD-2023-0563</t>
  </si>
  <si>
    <t>ORD-2023-0251</t>
  </si>
  <si>
    <t>CUS-1032</t>
  </si>
  <si>
    <t>ORD-2023-0365</t>
  </si>
  <si>
    <t>CUS-1016</t>
  </si>
  <si>
    <t>ORD-2023-0532</t>
  </si>
  <si>
    <t>ORD-2023-0769</t>
  </si>
  <si>
    <t>ORD-2023-0509</t>
  </si>
  <si>
    <t>ORD-2023-0876</t>
  </si>
  <si>
    <t>CUS-1190</t>
  </si>
  <si>
    <t>ORD-2023-0193</t>
  </si>
  <si>
    <t>CUS-1139</t>
  </si>
  <si>
    <t>ORD-2023-0767</t>
  </si>
  <si>
    <t>CUS-1242</t>
  </si>
  <si>
    <t>ORD-2023-0856</t>
  </si>
  <si>
    <t>ORD-2023-0017</t>
  </si>
  <si>
    <t>CUS-1062</t>
  </si>
  <si>
    <t>ORD-2023-0646</t>
  </si>
  <si>
    <t>CUS-1314</t>
  </si>
  <si>
    <t>ORD-2023-0745</t>
  </si>
  <si>
    <t>CUS-1281</t>
  </si>
  <si>
    <t>ORD-2023-0543</t>
  </si>
  <si>
    <t>CUS-1109</t>
  </si>
  <si>
    <t>ORD-2023-0355</t>
  </si>
  <si>
    <t>ORD-2023-0782</t>
  </si>
  <si>
    <t>ORD-2023-0328</t>
  </si>
  <si>
    <t>CUS-1197</t>
  </si>
  <si>
    <t>ORD-2023-0900</t>
  </si>
  <si>
    <t>ORD-2023-0776</t>
  </si>
  <si>
    <t>CUS-1307</t>
  </si>
  <si>
    <t>ORD-2023-0392</t>
  </si>
  <si>
    <t>CUS-1191</t>
  </si>
  <si>
    <t>ORD-2023-0352</t>
  </si>
  <si>
    <t>CUS-1261</t>
  </si>
  <si>
    <t>ORD-2023-0295</t>
  </si>
  <si>
    <t>ORD-2023-0615</t>
  </si>
  <si>
    <t>ORD-2023-0200</t>
  </si>
  <si>
    <t>Jun</t>
  </si>
  <si>
    <t>ORD-2023-0423</t>
  </si>
  <si>
    <t>CUS-1318</t>
  </si>
  <si>
    <t>ORD-2023-0045</t>
  </si>
  <si>
    <t>ORD-2023-0869</t>
  </si>
  <si>
    <t>CUS-1289</t>
  </si>
  <si>
    <t>ORD-2023-0015</t>
  </si>
  <si>
    <t>CUS-1034</t>
  </si>
  <si>
    <t>ORD-2023-0173</t>
  </si>
  <si>
    <t>ORD-2023-0600</t>
  </si>
  <si>
    <t>CUS-1103</t>
  </si>
  <si>
    <t>ORD-2023-0140</t>
  </si>
  <si>
    <t>ORD-2023-0113</t>
  </si>
  <si>
    <t>ORD-2023-0372</t>
  </si>
  <si>
    <t>CUS-1091</t>
  </si>
  <si>
    <t>ORD-2023-0383</t>
  </si>
  <si>
    <t>CUS-1146</t>
  </si>
  <si>
    <t>ORD-2023-0054</t>
  </si>
  <si>
    <t>CUS-1171</t>
  </si>
  <si>
    <t>ORD-2023-0530</t>
  </si>
  <si>
    <t>CUS-1263</t>
  </si>
  <si>
    <t>ORD-2023-0854</t>
  </si>
  <si>
    <t>ORD-2023-0018</t>
  </si>
  <si>
    <t>ORD-2023-0618</t>
  </si>
  <si>
    <t>CUS-1012</t>
  </si>
  <si>
    <t>ORD-2023-0882</t>
  </si>
  <si>
    <t>ORD-2023-0496</t>
  </si>
  <si>
    <t>CUS-1276</t>
  </si>
  <si>
    <t>ORD-2023-0076</t>
  </si>
  <si>
    <t>CUS-1305</t>
  </si>
  <si>
    <t>ORD-2023-0302</t>
  </si>
  <si>
    <t>ORD-2023-0130</t>
  </si>
  <si>
    <t>ORD-2023-0380</t>
  </si>
  <si>
    <t>ORD-2023-0669</t>
  </si>
  <si>
    <t>CUS-1133</t>
  </si>
  <si>
    <t>ORD-2023-0779</t>
  </si>
  <si>
    <t>CUS-1232</t>
  </si>
  <si>
    <t>ORD-2023-0544</t>
  </si>
  <si>
    <t>ORD-2023-0214</t>
  </si>
  <si>
    <t>CUS-1175</t>
  </si>
  <si>
    <t>ORD-2023-0070</t>
  </si>
  <si>
    <t>Q3</t>
  </si>
  <si>
    <t>Jul</t>
  </si>
  <si>
    <t>CUS-1076</t>
  </si>
  <si>
    <t>ORD-2023-0728</t>
  </si>
  <si>
    <t>CUS-1260</t>
  </si>
  <si>
    <t>ORD-2023-0647</t>
  </si>
  <si>
    <t>CUS-1072</t>
  </si>
  <si>
    <t>ORD-2023-0727</t>
  </si>
  <si>
    <t>CUS-1122</t>
  </si>
  <si>
    <t>ORD-2023-0457</t>
  </si>
  <si>
    <t>CUS-1061</t>
  </si>
  <si>
    <t>ORD-2023-0442</t>
  </si>
  <si>
    <t>CUS-1211</t>
  </si>
  <si>
    <t>ORD-2023-0147</t>
  </si>
  <si>
    <t>ORD-2023-0739</t>
  </si>
  <si>
    <t>ORD-2023-0691</t>
  </si>
  <si>
    <t>CUS-1165</t>
  </si>
  <si>
    <t>ORD-2023-0763</t>
  </si>
  <si>
    <t>CUS-1056</t>
  </si>
  <si>
    <t>ORD-2023-0561</t>
  </si>
  <si>
    <t>ORD-2023-0595</t>
  </si>
  <si>
    <t>ORD-2023-0120</t>
  </si>
  <si>
    <t>CUS-1092</t>
  </si>
  <si>
    <t>ORD-2023-0566</t>
  </si>
  <si>
    <t>ORD-2023-0852</t>
  </si>
  <si>
    <t>CUS-1137</t>
  </si>
  <si>
    <t>ORD-2023-0281</t>
  </si>
  <si>
    <t>ORD-2023-0403</t>
  </si>
  <si>
    <t>CUS-1090</t>
  </si>
  <si>
    <t>ORD-2023-0831</t>
  </si>
  <si>
    <t>CUS-1251</t>
  </si>
  <si>
    <t>ORD-2023-0870</t>
  </si>
  <si>
    <t>ORD-2023-0357</t>
  </si>
  <si>
    <t>CUS-1111</t>
  </si>
  <si>
    <t>ORD-2023-0426</t>
  </si>
  <si>
    <t>ORD-2023-0866</t>
  </si>
  <si>
    <t>CUS-1184</t>
  </si>
  <si>
    <t>ORD-2023-0277</t>
  </si>
  <si>
    <t>CUS-1252</t>
  </si>
  <si>
    <t>ORD-2023-0510</t>
  </si>
  <si>
    <t>Aug</t>
  </si>
  <si>
    <t>CUS-1224</t>
  </si>
  <si>
    <t>ORD-2023-0721</t>
  </si>
  <si>
    <t>ORD-2023-0695</t>
  </si>
  <si>
    <t>CUS-1028</t>
  </si>
  <si>
    <t>ORD-2023-0840</t>
  </si>
  <si>
    <t>ORD-2023-0750</t>
  </si>
  <si>
    <t>ORD-2023-0758</t>
  </si>
  <si>
    <t>ORD-2023-0016</t>
  </si>
  <si>
    <t>ORD-2023-0267</t>
  </si>
  <si>
    <t>CUS-1159</t>
  </si>
  <si>
    <t>ORD-2023-0310</t>
  </si>
  <si>
    <t>ORD-2023-0516</t>
  </si>
  <si>
    <t>CUS-1220</t>
  </si>
  <si>
    <t>ORD-2023-0145</t>
  </si>
  <si>
    <t>CUS-1297</t>
  </si>
  <si>
    <t>ORD-2023-0339</t>
  </si>
  <si>
    <t>CUS-1231</t>
  </si>
  <si>
    <t>ORD-2023-0443</t>
  </si>
  <si>
    <t>CUS-1021</t>
  </si>
  <si>
    <t>ORD-2023-0412</t>
  </si>
  <si>
    <t>ORD-2023-0652</t>
  </si>
  <si>
    <t>CUS-1254</t>
  </si>
  <si>
    <t>ORD-2023-0553</t>
  </si>
  <si>
    <t>ORD-2023-0002</t>
  </si>
  <si>
    <t>CUS-1315</t>
  </si>
  <si>
    <t>ORD-2023-0052</t>
  </si>
  <si>
    <t>CUS-1040</t>
  </si>
  <si>
    <t>ORD-2023-0766</t>
  </si>
  <si>
    <t>ORD-2023-0152</t>
  </si>
  <si>
    <t>CUS-1292</t>
  </si>
  <si>
    <t>ORD-2023-0860</t>
  </si>
  <si>
    <t>ORD-2023-0486</t>
  </si>
  <si>
    <t>ORD-2023-0863</t>
  </si>
  <si>
    <t>CUS-1143</t>
  </si>
  <si>
    <t>ORD-2023-0751</t>
  </si>
  <si>
    <t>ORD-2023-0315</t>
  </si>
  <si>
    <t>CUS-1213</t>
  </si>
  <si>
    <t>ORD-2023-0338</t>
  </si>
  <si>
    <t>CUS-1296</t>
  </si>
  <si>
    <t>ORD-2023-0107</t>
  </si>
  <si>
    <t>CUS-1135</t>
  </si>
  <si>
    <t>ORD-2023-0438</t>
  </si>
  <si>
    <t>CUS-1257</t>
  </si>
  <si>
    <t>ORD-2023-0448</t>
  </si>
  <si>
    <t>CUS-1089</t>
  </si>
  <si>
    <t>ORD-2023-0845</t>
  </si>
  <si>
    <t>CUS-1057</t>
  </si>
  <si>
    <t>ORD-2023-0049</t>
  </si>
  <si>
    <t>Sep</t>
  </si>
  <si>
    <t>ORD-2023-0248</t>
  </si>
  <si>
    <t>CUS-1070</t>
  </si>
  <si>
    <t>ORD-2023-0855</t>
  </si>
  <si>
    <t>CUS-1077</t>
  </si>
  <si>
    <t>ORD-2023-0780</t>
  </si>
  <si>
    <t>CUS-1264</t>
  </si>
  <si>
    <t>ORD-2023-0309</t>
  </si>
  <si>
    <t>CUS-1058</t>
  </si>
  <si>
    <t>ORD-2023-0399</t>
  </si>
  <si>
    <t>ORD-2023-0529</t>
  </si>
  <si>
    <t>ORD-2023-0398</t>
  </si>
  <si>
    <t>ORD-2023-0649</t>
  </si>
  <si>
    <t>ORD-2023-0081</t>
  </si>
  <si>
    <t>CUS-1156</t>
  </si>
  <si>
    <t>ORD-2023-0838</t>
  </si>
  <si>
    <t>CUS-1169</t>
  </si>
  <si>
    <t>ORD-2023-0482</t>
  </si>
  <si>
    <t>ORD-2023-0044</t>
  </si>
  <si>
    <t>CUS-1221</t>
  </si>
  <si>
    <t>ORD-2023-0387</t>
  </si>
  <si>
    <t>ORD-2023-0143</t>
  </si>
  <si>
    <t>ORD-2023-0713</t>
  </si>
  <si>
    <t>CUS-1170</t>
  </si>
  <si>
    <t>ORD-2023-0129</t>
  </si>
  <si>
    <t>CUS-1158</t>
  </si>
  <si>
    <t>ORD-2023-0350</t>
  </si>
  <si>
    <t>ORD-2023-0487</t>
  </si>
  <si>
    <t>CUS-1240</t>
  </si>
  <si>
    <t>ORD-2023-0236</t>
  </si>
  <si>
    <t>Q4</t>
  </si>
  <si>
    <t>Oct</t>
  </si>
  <si>
    <t>ORD-2023-0445</t>
  </si>
  <si>
    <t>ORD-2023-0320</t>
  </si>
  <si>
    <t>ORD-2023-0218</t>
  </si>
  <si>
    <t>CUS-1308</t>
  </si>
  <si>
    <t>ORD-2023-0835</t>
  </si>
  <si>
    <t>CUS-1008</t>
  </si>
  <si>
    <t>ORD-2023-0261</t>
  </si>
  <si>
    <t>ORD-2023-0008</t>
  </si>
  <si>
    <t>ORD-2023-0023</t>
  </si>
  <si>
    <t>ORD-2023-0024</t>
  </si>
  <si>
    <t>ORD-2023-0203</t>
  </si>
  <si>
    <t>ORD-2023-0581</t>
  </si>
  <si>
    <t>ORD-2023-0602</t>
  </si>
  <si>
    <t>ORD-2023-0744</t>
  </si>
  <si>
    <t>CUS-1176</t>
  </si>
  <si>
    <t>ORD-2023-0396</t>
  </si>
  <si>
    <t>CUS-1148</t>
  </si>
  <si>
    <t>ORD-2023-0577</t>
  </si>
  <si>
    <t>CUS-1198</t>
  </si>
  <si>
    <t>ORD-2023-0815</t>
  </si>
  <si>
    <t>CUS-1004</t>
  </si>
  <si>
    <t>ORD-2023-0039</t>
  </si>
  <si>
    <t>ORD-2023-0179</t>
  </si>
  <si>
    <t>ORD-2023-0244</t>
  </si>
  <si>
    <t>CUS-1286</t>
  </si>
  <si>
    <t>ORD-2023-0603</t>
  </si>
  <si>
    <t>CUS-1071</t>
  </si>
  <si>
    <t>ORD-2023-0430</t>
  </si>
  <si>
    <t>ORD-2023-0050</t>
  </si>
  <si>
    <t>Nov</t>
  </si>
  <si>
    <t>ORD-2023-0128</t>
  </si>
  <si>
    <t>CUS-1195</t>
  </si>
  <si>
    <t>ORD-2023-0484</t>
  </si>
  <si>
    <t>ORD-2023-0157</t>
  </si>
  <si>
    <t>ORD-2023-0098</t>
  </si>
  <si>
    <t>CUS-1027</t>
  </si>
  <si>
    <t>ORD-2023-0470</t>
  </si>
  <si>
    <t>CUS-1161</t>
  </si>
  <si>
    <t>ORD-2023-0693</t>
  </si>
  <si>
    <t>ORD-2023-0755</t>
  </si>
  <si>
    <t>ORD-2023-0004</t>
  </si>
  <si>
    <t>CUS-1266</t>
  </si>
  <si>
    <t>ORD-2023-0725</t>
  </si>
  <si>
    <t>CUS-1127</t>
  </si>
  <si>
    <t>ORD-2023-0202</t>
  </si>
  <si>
    <t>CUS-1291</t>
  </si>
  <si>
    <t>ORD-2023-0447</t>
  </si>
  <si>
    <t>ORD-2023-0620</t>
  </si>
  <si>
    <t>CUS-1124</t>
  </si>
  <si>
    <t>ORD-2023-0811</t>
  </si>
  <si>
    <t>ORD-2023-0814</t>
  </si>
  <si>
    <t>ORD-2023-0361</t>
  </si>
  <si>
    <t>ORD-2023-0768</t>
  </si>
  <si>
    <t>CUS-1106</t>
  </si>
  <si>
    <t>ORD-2023-0694</t>
  </si>
  <si>
    <t>ORD-2023-0345</t>
  </si>
  <si>
    <t>ORD-2023-0376</t>
  </si>
  <si>
    <t>CUS-1099</t>
  </si>
  <si>
    <t>ORD-2023-0781</t>
  </si>
  <si>
    <t>CUS-1248</t>
  </si>
  <si>
    <t>ORD-2023-0368</t>
  </si>
  <si>
    <t>ORD-2023-0322</t>
  </si>
  <si>
    <t>Dec</t>
  </si>
  <si>
    <t>ORD-2023-0673</t>
  </si>
  <si>
    <t>CUS-1272</t>
  </si>
  <si>
    <t>ORD-2023-0091</t>
  </si>
  <si>
    <t>CUS-1283</t>
  </si>
  <si>
    <t>ORD-2023-0477</t>
  </si>
  <si>
    <t>ORD-2023-0188</t>
  </si>
  <si>
    <t>ORD-2023-0228</t>
  </si>
  <si>
    <t>CUS-1118</t>
  </si>
  <si>
    <t>ORD-2023-0378</t>
  </si>
  <si>
    <t>CUS-1236</t>
  </si>
  <si>
    <t>ORD-2023-0718</t>
  </si>
  <si>
    <t>CUS-1098</t>
  </si>
  <si>
    <t>ORD-2023-0405</t>
  </si>
  <si>
    <t>CUS-1155</t>
  </si>
  <si>
    <t>ORD-2023-0665</t>
  </si>
  <si>
    <t>ORD-2023-0077</t>
  </si>
  <si>
    <t>CUS-1102</t>
  </si>
  <si>
    <t>ORD-2023-0087</t>
  </si>
  <si>
    <t>CUS-1196</t>
  </si>
  <si>
    <t>ORD-2023-0221</t>
  </si>
  <si>
    <t>ORD-2023-0631</t>
  </si>
  <si>
    <t>ORD-2023-0740</t>
  </si>
  <si>
    <t>ORD-2023-0112</t>
  </si>
  <si>
    <t>ORD-2023-0156</t>
  </si>
  <si>
    <t>ORD-2023-0493</t>
  </si>
  <si>
    <t>ORD-2023-0578</t>
  </si>
  <si>
    <t>ORD-2023-0580</t>
  </si>
  <si>
    <t>ORD-2023-0698</t>
  </si>
  <si>
    <t>ORD-2023-0118</t>
  </si>
  <si>
    <t>ORD-2023-0148</t>
  </si>
  <si>
    <t>CUS-1144</t>
  </si>
  <si>
    <t>ORD-2023-0677</t>
  </si>
  <si>
    <t>ORD-2023-0176</t>
  </si>
  <si>
    <t>CUS-1131</t>
  </si>
  <si>
    <t>ORD-2023-0252</t>
  </si>
  <si>
    <t>CUS-1173</t>
  </si>
  <si>
    <t>ORD-2023-0394</t>
  </si>
  <si>
    <t>CUS-1017</t>
  </si>
  <si>
    <t>ORD-2023-0569</t>
  </si>
  <si>
    <t>CUS-1163</t>
  </si>
  <si>
    <t>ORD-2024-0271</t>
  </si>
  <si>
    <t>CUS-1310</t>
  </si>
  <si>
    <t>ORD-2024-0402</t>
  </si>
  <si>
    <t>ORD-2024-0761</t>
  </si>
  <si>
    <t>ORD-2024-0385</t>
  </si>
  <si>
    <t>CUS-1095</t>
  </si>
  <si>
    <t>ORD-2024-0419</t>
  </si>
  <si>
    <t>CUS-1041</t>
  </si>
  <si>
    <t>ORD-2024-0308</t>
  </si>
  <si>
    <t>ORD-2024-0219</t>
  </si>
  <si>
    <t>ORD-2024-0237</t>
  </si>
  <si>
    <t>CUS-1204</t>
  </si>
  <si>
    <t>ORD-2024-0162</t>
  </si>
  <si>
    <t>CUS-1193</t>
  </si>
  <si>
    <t>ORD-2024-0239</t>
  </si>
  <si>
    <t>CUS-1107</t>
  </si>
  <si>
    <t>ORD-2024-0287</t>
  </si>
  <si>
    <t>ORD-2024-0440</t>
  </si>
  <si>
    <t>ORD-2024-0821</t>
  </si>
  <si>
    <t>ORD-2024-0661</t>
  </si>
  <si>
    <t>CUS-1084</t>
  </si>
  <si>
    <t>ORD-2024-0775</t>
  </si>
  <si>
    <t>ORD-2024-0564</t>
  </si>
  <si>
    <t>ORD-2024-0853</t>
  </si>
  <si>
    <t>ORD-2024-0587</t>
  </si>
  <si>
    <t>CUS-1194</t>
  </si>
  <si>
    <t>ORD-2024-0736</t>
  </si>
  <si>
    <t>ORD-2024-0131</t>
  </si>
  <si>
    <t>CUS-1150</t>
  </si>
  <si>
    <t>ORD-2024-0229</t>
  </si>
  <si>
    <t>CUS-1140</t>
  </si>
  <si>
    <t>ORD-2024-0883</t>
  </si>
  <si>
    <t>ORD-2024-0843</t>
  </si>
  <si>
    <t>CUS-1078</t>
  </si>
  <si>
    <t>ORD-2024-0280</t>
  </si>
  <si>
    <t>CUS-1187</t>
  </si>
  <si>
    <t>ORD-2024-0747</t>
  </si>
  <si>
    <t>CUS-1277</t>
  </si>
  <si>
    <t>ORD-2024-0037</t>
  </si>
  <si>
    <t>CUS-1042</t>
  </si>
  <si>
    <t>ORD-2024-0319</t>
  </si>
  <si>
    <t>ORD-2024-0358</t>
  </si>
  <si>
    <t>ORD-2024-0515</t>
  </si>
  <si>
    <t>ORD-2024-0642</t>
  </si>
  <si>
    <t>ORD-2024-0117</t>
  </si>
  <si>
    <t>ORD-2024-0417</t>
  </si>
  <si>
    <t>CUS-1274</t>
  </si>
  <si>
    <t>ORD-2024-0141</t>
  </si>
  <si>
    <t>ORD-2024-0439</t>
  </si>
  <si>
    <t>ORD-2024-0354</t>
  </si>
  <si>
    <t>CUS-1108</t>
  </si>
  <si>
    <t>ORD-2024-0536</t>
  </si>
  <si>
    <t>CUS-1192</t>
  </si>
  <si>
    <t>ORD-2024-0462</t>
  </si>
  <si>
    <t>ORD-2024-0154</t>
  </si>
  <si>
    <t>ORD-2024-0432</t>
  </si>
  <si>
    <t>ORD-2024-0053</t>
  </si>
  <si>
    <t>ORD-2024-0506</t>
  </si>
  <si>
    <t>CUS-1149</t>
  </si>
  <si>
    <t>ORD-2024-0153</t>
  </si>
  <si>
    <t>ORD-2024-0483</t>
  </si>
  <si>
    <t>ORD-2024-0028</t>
  </si>
  <si>
    <t>ORD-2024-0235</t>
  </si>
  <si>
    <t>CUS-1293</t>
  </si>
  <si>
    <t>ORD-2024-0741</t>
  </si>
  <si>
    <t>ORD-2024-0859</t>
  </si>
  <si>
    <t>CUS-1075</t>
  </si>
  <si>
    <t>ORD-2024-0830</t>
  </si>
  <si>
    <t>CUS-1179</t>
  </si>
  <si>
    <t>ORD-2024-0468</t>
  </si>
  <si>
    <t>ORD-2024-0672</t>
  </si>
  <si>
    <t>ORD-2024-0080</t>
  </si>
  <si>
    <t>ORD-2024-0155</t>
  </si>
  <si>
    <t>CUS-1081</t>
  </si>
  <si>
    <t>ORD-2024-0454</t>
  </si>
  <si>
    <t>ORD-2024-0644</t>
  </si>
  <si>
    <t>ORD-2024-0507</t>
  </si>
  <si>
    <t>CUS-1006</t>
  </si>
  <si>
    <t>ORD-2024-0546</t>
  </si>
  <si>
    <t>ORD-2024-0217</t>
  </si>
  <si>
    <t>CUS-1083</t>
  </si>
  <si>
    <t>ORD-2024-0384</t>
  </si>
  <si>
    <t>ORD-2024-0381</t>
  </si>
  <si>
    <t>CUS-1005</t>
  </si>
  <si>
    <t>ORD-2024-0101</t>
  </si>
  <si>
    <t>ORD-2024-0877</t>
  </si>
  <si>
    <t>ORD-2024-0135</t>
  </si>
  <si>
    <t>ORD-2024-0349</t>
  </si>
  <si>
    <t>CUS-1053</t>
  </si>
  <si>
    <t>ORD-2024-0735</t>
  </si>
  <si>
    <t>CUS-1234</t>
  </si>
  <si>
    <t>ORD-2024-0115</t>
  </si>
  <si>
    <t>ORD-2024-0865</t>
  </si>
  <si>
    <t>ORD-2024-0106</t>
  </si>
  <si>
    <t>ORD-2024-0719</t>
  </si>
  <si>
    <t>ORD-2024-0879</t>
  </si>
  <si>
    <t>ORD-2024-0085</t>
  </si>
  <si>
    <t>CUS-1241</t>
  </si>
  <si>
    <t>ORD-2024-0168</t>
  </si>
  <si>
    <t>CUS-1209</t>
  </si>
  <si>
    <t>ORD-2024-0436</t>
  </si>
  <si>
    <t>ORD-2024-0459</t>
  </si>
  <si>
    <t>CUS-1288</t>
  </si>
  <si>
    <t>ORD-2024-0757</t>
  </si>
  <si>
    <t>ORD-2024-0826</t>
  </si>
  <si>
    <t>ORD-2024-0502</t>
  </si>
  <si>
    <t>CUS-1279</t>
  </si>
  <si>
    <t>ORD-2024-0659</t>
  </si>
  <si>
    <t>ORD-2024-0742</t>
  </si>
  <si>
    <t>CUS-1219</t>
  </si>
  <si>
    <t>ORD-2024-0073</t>
  </si>
  <si>
    <t>CUS-1033</t>
  </si>
  <si>
    <t>ORD-2024-0138</t>
  </si>
  <si>
    <t>ORD-2024-0215</t>
  </si>
  <si>
    <t>ORD-2024-0455</t>
  </si>
  <si>
    <t>ORD-2024-0007</t>
  </si>
  <si>
    <t>ORD-2024-0534</t>
  </si>
  <si>
    <t>CUS-1116</t>
  </si>
  <si>
    <t>ORD-2024-0599</t>
  </si>
  <si>
    <t>ORD-2024-0880</t>
  </si>
  <si>
    <t>ORD-2024-0036</t>
  </si>
  <si>
    <t>ORD-2024-0608</t>
  </si>
  <si>
    <t>CUS-1047</t>
  </si>
  <si>
    <t>ORD-2024-0637</t>
  </si>
  <si>
    <t>ORD-2024-0547</t>
  </si>
  <si>
    <t>ORD-2024-0697</t>
  </si>
  <si>
    <t>ORD-2024-0820</t>
  </si>
  <si>
    <t>CUS-1239</t>
  </si>
  <si>
    <t>ORD-2024-0582</t>
  </si>
  <si>
    <t>ORD-2024-0450</t>
  </si>
  <si>
    <t>ORD-2024-0499</t>
  </si>
  <si>
    <t>CUS-1245</t>
  </si>
  <si>
    <t>ORD-2024-0232</t>
  </si>
  <si>
    <t>ORD-2024-0629</t>
  </si>
  <si>
    <t>ORD-2024-0531</t>
  </si>
  <si>
    <t>ORD-2024-0888</t>
  </si>
  <si>
    <t>ORD-2024-0071</t>
  </si>
  <si>
    <t>ORD-2024-0685</t>
  </si>
  <si>
    <t>ORD-2024-0366</t>
  </si>
  <si>
    <t>ORD-2024-0762</t>
  </si>
  <si>
    <t>ORD-2024-0715</t>
  </si>
  <si>
    <t>ORD-2024-0238</t>
  </si>
  <si>
    <t>ORD-2024-0314</t>
  </si>
  <si>
    <t>ORD-2024-0886</t>
  </si>
  <si>
    <t>ORD-2024-0846</t>
  </si>
  <si>
    <t>ORD-2024-0164</t>
  </si>
  <si>
    <t>ORD-2024-0327</t>
  </si>
  <si>
    <t>CUS-1200</t>
  </si>
  <si>
    <t>ORD-2024-0250</t>
  </si>
  <si>
    <t>ORD-2024-0374</t>
  </si>
  <si>
    <t>ORD-2024-0407</t>
  </si>
  <si>
    <t>ORD-2024-0429</t>
  </si>
  <si>
    <t>ORD-2024-0823</t>
  </si>
  <si>
    <t>ORD-2024-0074</t>
  </si>
  <si>
    <t>ORD-2024-0894</t>
  </si>
  <si>
    <t>ORD-2024-0613</t>
  </si>
  <si>
    <t>CUS-1031</t>
  </si>
  <si>
    <t>ORD-2024-0279</t>
  </si>
  <si>
    <t>CUS-1120</t>
  </si>
  <si>
    <t>ORD-2024-0163</t>
  </si>
  <si>
    <t>CUS-1230</t>
  </si>
  <si>
    <t>ORD-2024-0198</t>
  </si>
  <si>
    <t>ORD-2024-0640</t>
  </si>
  <si>
    <t>ORD-2024-0213</t>
  </si>
  <si>
    <t>ORD-2024-0294</t>
  </si>
  <si>
    <t>CUS-1306</t>
  </si>
  <si>
    <t>ORD-2024-0788</t>
  </si>
  <si>
    <t>ORD-2024-0126</t>
  </si>
  <si>
    <t>ORD-2024-0158</t>
  </si>
  <si>
    <t>ORD-2024-0873</t>
  </si>
  <si>
    <t>ORD-2024-0410</t>
  </si>
  <si>
    <t>ORD-2024-0634</t>
  </si>
  <si>
    <t>ORD-2024-0680</t>
  </si>
  <si>
    <t>CUS-1303</t>
  </si>
  <si>
    <t>ORD-2024-0064</t>
  </si>
  <si>
    <t>ORD-2024-0062</t>
  </si>
  <si>
    <t>ORD-2024-0084</t>
  </si>
  <si>
    <t>CUS-1157</t>
  </si>
  <si>
    <t>ORD-2024-0260</t>
  </si>
  <si>
    <t>ORD-2024-0796</t>
  </si>
  <si>
    <t>ORD-2024-0663</t>
  </si>
  <si>
    <t>ORD-2024-0058</t>
  </si>
  <si>
    <t>ORD-2024-0760</t>
  </si>
  <si>
    <t>ORD-2024-0660</t>
  </si>
  <si>
    <t>ORD-2024-0804</t>
  </si>
  <si>
    <t>ORD-2024-0225</t>
  </si>
  <si>
    <t>CUS-1065</t>
  </si>
  <si>
    <t>ORD-2024-0792</t>
  </si>
  <si>
    <t>ORD-2024-0046</t>
  </si>
  <si>
    <t>ORD-2024-0633</t>
  </si>
  <si>
    <t>ORD-2024-0104</t>
  </si>
  <si>
    <t>ORD-2024-0180</t>
  </si>
  <si>
    <t>ORD-2024-0190</t>
  </si>
  <si>
    <t>ORD-2024-0604</t>
  </si>
  <si>
    <t>CUS-1130</t>
  </si>
  <si>
    <t>ORD-2024-0186</t>
  </si>
  <si>
    <t>ORD-2024-0548</t>
  </si>
  <si>
    <t>ORD-2024-0759</t>
  </si>
  <si>
    <t>ORD-2024-0400</t>
  </si>
  <si>
    <t>ORD-2024-0746</t>
  </si>
  <si>
    <t>ORD-2024-0406</t>
  </si>
  <si>
    <t>ORD-2024-0522</t>
  </si>
  <si>
    <t>ORD-2024-0793</t>
  </si>
  <si>
    <t>ORD-2024-0748</t>
  </si>
  <si>
    <t>CUS-1039</t>
  </si>
  <si>
    <t>ORD-2024-0306</t>
  </si>
  <si>
    <t>CUS-1215</t>
  </si>
  <si>
    <t>ORD-2024-0288</t>
  </si>
  <si>
    <t>ORD-2024-0667</t>
  </si>
  <si>
    <t>ORD-2024-0619</t>
  </si>
  <si>
    <t>ORD-2024-0723</t>
  </si>
  <si>
    <t>CUS-1003</t>
  </si>
  <si>
    <t>ORD-2024-0382</t>
  </si>
  <si>
    <t>ORD-2024-0192</t>
  </si>
  <si>
    <t>CUS-1203</t>
  </si>
  <si>
    <t>ORD-2024-0597</t>
  </si>
  <si>
    <t>ORD-2024-0643</t>
  </si>
  <si>
    <t>ORD-2024-0724</t>
  </si>
  <si>
    <t>ORD-2024-0055</t>
  </si>
  <si>
    <t>CUS-1284</t>
  </si>
  <si>
    <t>ORD-2024-0717</t>
  </si>
  <si>
    <t>CUS-1160</t>
  </si>
  <si>
    <t>ORD-2024-0021</t>
  </si>
  <si>
    <t>ORD-2024-0060</t>
  </si>
  <si>
    <t>CUS-1009</t>
  </si>
  <si>
    <t>ORD-2024-0297</t>
  </si>
  <si>
    <t>ORD-2024-0342</t>
  </si>
  <si>
    <t>CUS-1223</t>
  </si>
  <si>
    <t>ORD-2024-0898</t>
  </si>
  <si>
    <t>ORD-2024-0296</t>
  </si>
  <si>
    <t>ORD-2024-0570</t>
  </si>
  <si>
    <t>ORD-2024-0675</t>
  </si>
  <si>
    <t>CUS-1132</t>
  </si>
  <si>
    <t>ORD-2024-0079</t>
  </si>
  <si>
    <t>ORD-2024-0538</t>
  </si>
  <si>
    <t>ORD-2024-0480</t>
  </si>
  <si>
    <t>CUS-1115</t>
  </si>
  <si>
    <t>ORD-2024-0029</t>
  </si>
  <si>
    <t>CUS-1000</t>
  </si>
  <si>
    <t>ORD-2024-0370</t>
  </si>
  <si>
    <t>ORD-2024-0833</t>
  </si>
  <si>
    <t>ORD-2024-0362</t>
  </si>
  <si>
    <t>ORD-2024-0014</t>
  </si>
  <si>
    <t>CUS-1134</t>
  </si>
  <si>
    <t>ORD-2024-0409</t>
  </si>
  <si>
    <t>ORD-2024-0795</t>
  </si>
  <si>
    <t>ORD-2024-0562</t>
  </si>
  <si>
    <t>ORD-2024-0009</t>
  </si>
  <si>
    <t>CUS-1212</t>
  </si>
  <si>
    <t>ORD-2024-0813</t>
  </si>
  <si>
    <t>CUS-1164</t>
  </si>
  <si>
    <t>ORD-2024-0519</t>
  </si>
  <si>
    <t>ORD-2024-0174</t>
  </si>
  <si>
    <t>CUS-1267</t>
  </si>
  <si>
    <t>ORD-2024-0272</t>
  </si>
  <si>
    <t>ORD-2024-0605</t>
  </si>
  <si>
    <t>ORD-2024-0817</t>
  </si>
  <si>
    <t>CUS-1015</t>
  </si>
  <si>
    <t>ORD-2024-0549</t>
  </si>
  <si>
    <t>CUS-1066</t>
  </si>
  <si>
    <t>ORD-2024-0616</t>
  </si>
  <si>
    <t>ORD-2024-0268</t>
  </si>
  <si>
    <t>ORD-2024-0709</t>
  </si>
  <si>
    <t>ORD-2024-0019</t>
  </si>
  <si>
    <t>ORD-2024-0205</t>
  </si>
  <si>
    <t>ORD-2024-0730</t>
  </si>
  <si>
    <t>ORD-2024-0523</t>
  </si>
  <si>
    <t>CUS-1020</t>
  </si>
  <si>
    <t>ORD-2024-0300</t>
  </si>
  <si>
    <t>ORD-2024-0521</t>
  </si>
  <si>
    <t>ORD-2024-0617</t>
  </si>
  <si>
    <t>ORD-2024-0414</t>
  </si>
  <si>
    <t>ORD-2024-0332</t>
  </si>
  <si>
    <t>ORD-2024-0068</t>
  </si>
  <si>
    <t>ORD-2024-0364</t>
  </si>
  <si>
    <t>ORD-2024-0195</t>
  </si>
  <si>
    <t>ORD-2024-0753</t>
  </si>
  <si>
    <t>ORD-2024-0464</t>
  </si>
  <si>
    <t>ORD-2024-0283</t>
  </si>
  <si>
    <t>CUS-1014</t>
  </si>
  <si>
    <t>ORD-2024-0559</t>
  </si>
  <si>
    <t>ORD-2024-0565</t>
  </si>
  <si>
    <t>ORD-2024-0234</t>
  </si>
  <si>
    <t>ORD-2024-0111</t>
  </si>
  <si>
    <t>ORD-2024-0572</t>
  </si>
  <si>
    <t>ORD-2024-0593</t>
  </si>
  <si>
    <t>ORD-2024-0650</t>
  </si>
  <si>
    <t>ORD-2024-0093</t>
  </si>
  <si>
    <t>ORD-2024-0301</t>
  </si>
  <si>
    <t>ORD-2024-0517</t>
  </si>
  <si>
    <t>CUS-1114</t>
  </si>
  <si>
    <t>ORD-2024-0799</t>
  </si>
  <si>
    <t>ORD-2024-0367</t>
  </si>
  <si>
    <t>ORD-2024-0375</t>
  </si>
  <si>
    <t>ORD-2024-0047</t>
  </si>
  <si>
    <t>ORD-2024-0083</t>
  </si>
  <si>
    <t>ORD-2024-0359</t>
  </si>
  <si>
    <t>ORD-2024-0298</t>
  </si>
  <si>
    <t>ORD-2024-0479</t>
  </si>
  <si>
    <t>ORD-2024-0867</t>
  </si>
  <si>
    <t>ORD-2024-0082</t>
  </si>
  <si>
    <t>CUS-1226</t>
  </si>
  <si>
    <t>ORD-2024-0307</t>
  </si>
  <si>
    <t>ORD-2024-0343</t>
  </si>
  <si>
    <t>ORD-2024-0887</t>
  </si>
  <si>
    <t>ORD-2024-0884</t>
  </si>
  <si>
    <t>ORD-2024-0609</t>
  </si>
  <si>
    <t>ORD-2024-0551</t>
  </si>
  <si>
    <t>ORD-2024-0733</t>
  </si>
  <si>
    <t>ORD-2024-0550</t>
  </si>
  <si>
    <t>ORD-2024-0696</t>
  </si>
  <si>
    <t>ORD-2024-0102</t>
  </si>
  <si>
    <t>ORD-2024-0231</t>
  </si>
  <si>
    <t>CUS-1024</t>
  </si>
  <si>
    <t>ORD-2024-0899</t>
  </si>
  <si>
    <t>ORD-2024-0449</t>
  </si>
  <si>
    <t>ORD-2024-0764</t>
  </si>
  <si>
    <t>ORD-2024-0872</t>
  </si>
  <si>
    <t>CUS-1063</t>
  </si>
  <si>
    <t>ORD-2024-0624</t>
  </si>
  <si>
    <t>ORD-2024-0638</t>
  </si>
  <si>
    <t>ORD-2024-0682</t>
  </si>
  <si>
    <t>ORD-2024-0773</t>
  </si>
  <si>
    <t>ORD-2024-0033</t>
  </si>
  <si>
    <t>ORD-2024-0490</t>
  </si>
  <si>
    <t>ORD-2024-0337</t>
  </si>
  <si>
    <t>ORD-2024-0591</t>
  </si>
  <si>
    <t>ORD-2024-0056</t>
  </si>
  <si>
    <t>ORD-2024-0700</t>
  </si>
  <si>
    <t>ORD-2024-0712</t>
  </si>
  <si>
    <t>ORD-2024-0586</t>
  </si>
  <si>
    <t>ORD-2024-0340</t>
  </si>
  <si>
    <t>CUS-1110</t>
  </si>
  <si>
    <t>ORD-2024-0533</t>
  </si>
  <si>
    <t>ORD-2024-0290</t>
  </si>
  <si>
    <t>ORD-2024-0827</t>
  </si>
  <si>
    <t>ORD-2024-0897</t>
  </si>
  <si>
    <t>ORD-2024-0791</t>
  </si>
  <si>
    <t>ORD-2024-0334</t>
  </si>
  <si>
    <t>ORD-2024-0285</t>
  </si>
  <si>
    <t>ORD-2024-0825</t>
  </si>
  <si>
    <t>ORD-2024-0241</t>
  </si>
  <si>
    <t>ORD-2024-0284</t>
  </si>
  <si>
    <t>ORD-2024-0836</t>
  </si>
  <si>
    <t>ORD-2024-0463</t>
  </si>
  <si>
    <t>ORD-2024-0199</t>
  </si>
  <si>
    <t>ORD-2024-0707</t>
  </si>
  <si>
    <t>ORD-2024-0837</t>
  </si>
  <si>
    <t>ORD-2024-0401</t>
  </si>
  <si>
    <t>ORD-2024-0132</t>
  </si>
  <si>
    <t>ORD-2024-0485</t>
  </si>
  <si>
    <t>CUS-1312</t>
  </si>
  <si>
    <t>ORD-2024-0655</t>
  </si>
  <si>
    <t>ORD-2024-0475</t>
  </si>
  <si>
    <t>ORD-2024-0881</t>
  </si>
  <si>
    <t>ORD-2024-0289</t>
  </si>
  <si>
    <t>ORD-2024-0011</t>
  </si>
  <si>
    <t>ORD-2024-0528</t>
  </si>
  <si>
    <t>ORD-2024-0772</t>
  </si>
  <si>
    <t>ORD-2024-0844</t>
  </si>
  <si>
    <t>ORD-2024-0520</t>
  </si>
  <si>
    <t>CUS-1080</t>
  </si>
  <si>
    <t>ORD-2024-0756</t>
  </si>
  <si>
    <t>ORD-2024-0336</t>
  </si>
  <si>
    <t>ORD-2024-0625</t>
  </si>
  <si>
    <t>ORD-2024-0012</t>
  </si>
  <si>
    <t>ORD-2024-0121</t>
  </si>
  <si>
    <t>ORD-2024-0601</t>
  </si>
  <si>
    <t>ORD-2024-0632</t>
  </si>
  <si>
    <t>ORD-2024-0165</t>
  </si>
  <si>
    <t>ORD-2024-0026</t>
  </si>
  <si>
    <t>ORD-2024-0790</t>
  </si>
  <si>
    <t>ORD-2024-0335</t>
  </si>
  <si>
    <t>ORD-2024-0258</t>
  </si>
  <si>
    <t>ORD-2024-0124</t>
  </si>
  <si>
    <t>CUS-1262</t>
  </si>
  <si>
    <t>ORD-2024-0097</t>
  </si>
  <si>
    <t>ORD-2025-0598</t>
  </si>
  <si>
    <t>ORD-2025-0512</t>
  </si>
  <si>
    <t>ORD-2025-0585</t>
  </si>
  <si>
    <t>ORD-2025-0001</t>
  </si>
  <si>
    <t>ORD-2025-0005</t>
  </si>
  <si>
    <t>ORD-2025-0197</t>
  </si>
  <si>
    <t>ORD-2025-0829</t>
  </si>
  <si>
    <t>CUS-1068</t>
  </si>
  <si>
    <t>ORD-2025-0134</t>
  </si>
  <si>
    <t>ORD-2025-0501</t>
  </si>
  <si>
    <t>ORD-2025-0415</t>
  </si>
  <si>
    <t>ORD-2025-0514</t>
  </si>
  <si>
    <t>ORD-2025-0670</t>
  </si>
  <si>
    <t>ORD-2025-0784</t>
  </si>
  <si>
    <t>ORD-2025-0524</t>
  </si>
  <si>
    <t>ORD-2025-0896</t>
  </si>
  <si>
    <t>ORD-2025-0377</t>
  </si>
  <si>
    <t>ORD-2025-0311</t>
  </si>
  <si>
    <t>CUS-1035</t>
  </si>
  <si>
    <t>ORD-2025-0504</t>
  </si>
  <si>
    <t>CUS-1237</t>
  </si>
  <si>
    <t>ORD-2025-0125</t>
  </si>
  <si>
    <t>ORD-2025-0579</t>
  </si>
  <si>
    <t>ORD-2025-0752</t>
  </si>
  <si>
    <t>ORD-2025-0211</t>
  </si>
  <si>
    <t>CUS-1086</t>
  </si>
  <si>
    <t>ORD-2025-0488</t>
  </si>
  <si>
    <t>ORD-2025-0363</t>
  </si>
  <si>
    <t>ORD-2025-0816</t>
  </si>
  <si>
    <t>CUS-1069</t>
  </si>
  <si>
    <t>ORD-2025-0276</t>
  </si>
  <si>
    <t>ORD-2025-0628</t>
  </si>
  <si>
    <t>ORD-2025-0774</t>
  </si>
  <si>
    <t>ORD-2025-0075</t>
  </si>
  <si>
    <t>ORD-2025-0446</t>
  </si>
  <si>
    <t>CUS-1019</t>
  </si>
  <si>
    <t>ORD-2025-0666</t>
  </si>
  <si>
    <t>ORD-2025-0057</t>
  </si>
  <si>
    <t>ORD-2025-0282</t>
  </si>
  <si>
    <t>ORD-2025-0411</t>
  </si>
  <si>
    <t>ORD-2025-0705</t>
  </si>
  <si>
    <t>CUS-1268</t>
  </si>
  <si>
    <t>ORD-2025-0466</t>
  </si>
  <si>
    <t>ORD-2025-0330</t>
  </si>
  <si>
    <t>ORD-2025-0893</t>
  </si>
  <si>
    <t>ORD-2025-0416</t>
  </si>
  <si>
    <t>ORD-2025-0734</t>
  </si>
  <si>
    <t>ORD-2025-0210</t>
  </si>
  <si>
    <t>ORD-2025-0263</t>
  </si>
  <si>
    <t>ORD-2025-0136</t>
  </si>
  <si>
    <t>ORD-2025-0259</t>
  </si>
  <si>
    <t>CUS-1119</t>
  </si>
  <si>
    <t>ORD-2025-0545</t>
  </si>
  <si>
    <t>CUS-1097</t>
  </si>
  <si>
    <t>ORD-2025-0592</t>
  </si>
  <si>
    <t>CUS-1207</t>
  </si>
  <si>
    <t>ORD-2025-0305</t>
  </si>
  <si>
    <t>ORD-2025-0623</t>
  </si>
  <si>
    <t>ORD-2025-0169</t>
  </si>
  <si>
    <t>ORD-2025-0220</t>
  </si>
  <si>
    <t>ORD-2025-0716</t>
  </si>
  <si>
    <t>ORD-2025-0701</t>
  </si>
  <si>
    <t>ORD-2025-0498</t>
  </si>
  <si>
    <t>ORD-2025-0858</t>
  </si>
  <si>
    <t>ORD-2025-0003</t>
  </si>
  <si>
    <t>ORD-2025-0347</t>
  </si>
  <si>
    <t>ORD-2025-0063</t>
  </si>
  <si>
    <t>ORD-2025-0699</t>
  </si>
  <si>
    <t>ORD-2025-0032</t>
  </si>
  <si>
    <t>ORD-2025-0230</t>
  </si>
  <si>
    <t>ORD-2025-0527</t>
  </si>
  <si>
    <t>ORD-2025-0668</t>
  </si>
  <si>
    <t>ORD-2025-0832</t>
  </si>
  <si>
    <t>ORD-2025-0224</t>
  </si>
  <si>
    <t>ORD-2025-0678</t>
  </si>
  <si>
    <t>ORD-2025-0105</t>
  </si>
  <si>
    <t>ORD-2025-0653</t>
  </si>
  <si>
    <t>ORD-2025-0789</t>
  </si>
  <si>
    <t>ORD-2025-0103</t>
  </si>
  <si>
    <t>CUS-1174</t>
  </si>
  <si>
    <t>ORD-2025-0557</t>
  </si>
  <si>
    <t>ORD-2025-0356</t>
  </si>
  <si>
    <t>CUS-1201</t>
  </si>
  <si>
    <t>ORD-2025-0262</t>
  </si>
  <si>
    <t>ORD-2025-0404</t>
  </si>
  <si>
    <t>ORD-2025-0133</t>
  </si>
  <si>
    <t>ORD-2025-0025</t>
  </si>
  <si>
    <t>ORD-2025-0275</t>
  </si>
  <si>
    <t>ORD-2025-0227</t>
  </si>
  <si>
    <t>ORD-2025-0422</t>
  </si>
  <si>
    <t>CUS-1145</t>
  </si>
  <si>
    <t>ORD-2025-0785</t>
  </si>
  <si>
    <t>ORD-2025-0841</t>
  </si>
  <si>
    <t>CUS-1250</t>
  </si>
  <si>
    <t>ORD-2025-0265</t>
  </si>
  <si>
    <t>ORD-2025-0266</t>
  </si>
  <si>
    <t>ORD-2025-0253</t>
  </si>
  <si>
    <t>ORD-2025-0264</t>
  </si>
  <si>
    <t>ORD-2025-0317</t>
  </si>
  <si>
    <t>ORD-2025-0452</t>
  </si>
  <si>
    <t>ORD-2025-0594</t>
  </si>
  <si>
    <t>ORD-2025-0183</t>
  </si>
  <si>
    <t>CUS-1100</t>
  </si>
  <si>
    <t>ORD-2025-0518</t>
  </si>
  <si>
    <t>CUS-1147</t>
  </si>
  <si>
    <t>ORD-2025-0635</t>
  </si>
  <si>
    <t>ORD-2025-0061</t>
  </si>
  <si>
    <t>ORD-2025-0222</t>
  </si>
  <si>
    <t>CUS-1282</t>
  </si>
  <si>
    <t>ORD-2025-0801</t>
  </si>
  <si>
    <t>CUS-1205</t>
  </si>
  <si>
    <t>ORD-2025-0269</t>
  </si>
  <si>
    <t>ORD-2025-0478</t>
  </si>
  <si>
    <t>CUS-1045</t>
  </si>
  <si>
    <t>ORD-2025-0606</t>
  </si>
  <si>
    <t>ORD-2025-0812</t>
  </si>
  <si>
    <t>ORD-2025-0834</t>
  </si>
  <si>
    <t>ORD-2025-0206</t>
  </si>
  <si>
    <t>ORD-2025-0108</t>
  </si>
  <si>
    <t>ORD-2025-0497</t>
  </si>
  <si>
    <t>ORD-2025-0433</t>
  </si>
  <si>
    <t>CUS-1059</t>
  </si>
  <si>
    <t>ORD-2025-0783</t>
  </si>
  <si>
    <t>ORD-2025-0848</t>
  </si>
  <si>
    <t>ORD-2025-0684</t>
  </si>
  <si>
    <t>ORD-2025-0469</t>
  </si>
  <si>
    <t>ORD-2025-0610</t>
  </si>
  <si>
    <t>ORD-2025-0664</t>
  </si>
  <si>
    <t>ORD-2025-0822</t>
  </si>
  <si>
    <t>ORD-2025-0552</t>
  </si>
  <si>
    <t>ORD-2025-0371</t>
  </si>
  <si>
    <t>ORD-2025-0116</t>
  </si>
  <si>
    <t>ORD-2025-0096</t>
  </si>
  <si>
    <t>ORD-2025-0274</t>
  </si>
  <si>
    <t>ORD-2025-0472</t>
  </si>
  <si>
    <t>ORD-2025-0688</t>
  </si>
  <si>
    <t>ORD-2025-0765</t>
  </si>
  <si>
    <t>ORD-2025-0038</t>
  </si>
  <si>
    <t>ORD-2025-0537</t>
  </si>
  <si>
    <t>ORD-2025-0714</t>
  </si>
  <si>
    <t>ORD-2025-0731</t>
  </si>
  <si>
    <t>ORD-2025-0013</t>
  </si>
  <si>
    <t>ORD-2025-0171</t>
  </si>
  <si>
    <t>CUS-1094</t>
  </si>
  <si>
    <t>ORD-2025-0144</t>
  </si>
  <si>
    <t>ORD-2025-0031</t>
  </si>
  <si>
    <t>ORD-2025-0596</t>
  </si>
  <si>
    <t>ORD-2025-0099</t>
  </si>
  <si>
    <t>ORD-2025-0348</t>
  </si>
  <si>
    <t>CUS-1309</t>
  </si>
  <si>
    <t>ORD-2025-0369</t>
  </si>
  <si>
    <t>ORD-2025-0041</t>
  </si>
  <si>
    <t>ORD-2025-0797</t>
  </si>
  <si>
    <t>ORD-2025-0809</t>
  </si>
  <si>
    <t>ORD-2025-0692</t>
  </si>
  <si>
    <t>ORD-2025-0386</t>
  </si>
  <si>
    <t>ORD-2025-0710</t>
  </si>
  <si>
    <t>ORD-2025-0078</t>
  </si>
  <si>
    <t>ORD-2025-0574</t>
  </si>
  <si>
    <t>ORD-2025-0743</t>
  </si>
  <si>
    <t>ORD-2025-0344</t>
  </si>
  <si>
    <t>ORD-2025-0395</t>
  </si>
  <si>
    <t>ORD-2025-0159</t>
  </si>
  <si>
    <t>ORD-2025-0304</t>
  </si>
  <si>
    <t>ORD-2025-0035</t>
  </si>
  <si>
    <t>ORD-2025-0641</t>
  </si>
  <si>
    <t>ORD-2025-0847</t>
  </si>
  <si>
    <t>ORD-2025-0316</t>
  </si>
  <si>
    <t>ORD-2025-0658</t>
  </si>
  <si>
    <t>ORD-2025-0246</t>
  </si>
  <si>
    <t>ORD-2025-0303</t>
  </si>
  <si>
    <t>ORD-2025-0794</t>
  </si>
  <si>
    <t>CUS-1216</t>
  </si>
  <si>
    <t>ORD-2025-0291</t>
  </si>
  <si>
    <t>ORD-2025-0871</t>
  </si>
  <si>
    <t>ORD-2025-0178</t>
  </si>
  <si>
    <t>ORD-2025-0420</t>
  </si>
  <si>
    <t>ORD-2025-0094</t>
  </si>
  <si>
    <t>ORD-2025-0481</t>
  </si>
  <si>
    <t>ORD-2025-0242</t>
  </si>
  <si>
    <t>ORD-2025-0681</t>
  </si>
  <si>
    <t>ORD-2025-0864</t>
  </si>
  <si>
    <t>ORD-2025-0729</t>
  </si>
  <si>
    <t>ORD-2025-0491</t>
  </si>
  <si>
    <t>ORD-2025-0089</t>
  </si>
  <si>
    <t>ORD-2025-0223</t>
  </si>
  <si>
    <t>ORD-2025-0341</t>
  </si>
  <si>
    <t>ORD-2025-0857</t>
  </si>
  <si>
    <t>ORD-2025-0187</t>
  </si>
  <si>
    <t>ORD-2025-0891</t>
  </si>
  <si>
    <t>CUS-1079</t>
  </si>
  <si>
    <t>ORD-2025-0839</t>
  </si>
  <si>
    <t>ORD-2025-0095</t>
  </si>
  <si>
    <t>ORD-2025-0567</t>
  </si>
  <si>
    <t>ORD-2025-0622</t>
  </si>
  <si>
    <t>CUS-1199</t>
  </si>
  <si>
    <t>ORD-2025-0456</t>
  </si>
  <si>
    <t>ORD-2025-0123</t>
  </si>
  <si>
    <t>ORD-2025-0100</t>
  </si>
  <si>
    <t>ORD-2025-0233</t>
  </si>
  <si>
    <t>ORD-2025-0390</t>
  </si>
  <si>
    <t>ORD-2025-0895</t>
  </si>
  <si>
    <t>ORD-2025-0292</t>
  </si>
  <si>
    <t>ORD-2025-0558</t>
  </si>
  <si>
    <t>ORD-2025-0194</t>
  </si>
  <si>
    <t>ORD-2025-0885</t>
  </si>
  <si>
    <t>ORD-2025-0806</t>
  </si>
  <si>
    <t>ORD-2025-0212</t>
  </si>
  <si>
    <t>ORD-2025-0286</t>
  </si>
  <si>
    <t>ORD-2025-0184</t>
  </si>
  <si>
    <t>ORD-2025-0434</t>
  </si>
  <si>
    <t>ORD-2025-0850</t>
  </si>
  <si>
    <t>ORD-2025-0329</t>
  </si>
  <si>
    <t>ORD-2025-0137</t>
  </si>
  <si>
    <t>ORD-2025-0654</t>
  </si>
  <si>
    <t>ORD-2025-0842</t>
  </si>
  <si>
    <t>ORD-2025-0686</t>
  </si>
  <si>
    <t>ORD-2025-0048</t>
  </si>
  <si>
    <t>ORD-2025-0702</t>
  </si>
  <si>
    <t>ORD-2025-0245</t>
  </si>
  <si>
    <t>ORD-2025-0255</t>
  </si>
  <si>
    <t>ORD-2025-0645</t>
  </si>
  <si>
    <t>ORD-2025-0726</t>
  </si>
  <si>
    <t>ORD-2025-0657</t>
  </si>
  <si>
    <t>ORD-2025-0207</t>
  </si>
  <si>
    <t>ORD-2025-0800</t>
  </si>
  <si>
    <t>ORD-2025-0636</t>
  </si>
  <si>
    <t>ORD-2025-0732</t>
  </si>
  <si>
    <t>ORD-2025-0703</t>
  </si>
  <si>
    <t>ORD-2025-0435</t>
  </si>
  <si>
    <t>ORD-2025-0059</t>
  </si>
  <si>
    <t>ORD-2025-0526</t>
  </si>
  <si>
    <t>ORD-2025-0708</t>
  </si>
  <si>
    <t>ORD-2025-0808</t>
  </si>
  <si>
    <t>ORD-2025-0030</t>
  </si>
  <si>
    <t>ORD-2025-0379</t>
  </si>
  <si>
    <t>ORD-2025-0177</t>
  </si>
  <si>
    <t>ORD-2025-0360</t>
  </si>
  <si>
    <t>ORD-2025-0391</t>
  </si>
  <si>
    <t>ORD-2025-0489</t>
  </si>
  <si>
    <t>ORD-2025-0555</t>
  </si>
  <si>
    <t>ORD-2025-0201</t>
  </si>
  <si>
    <t>ORD-2025-0247</t>
  </si>
  <si>
    <t>ORD-2025-0373</t>
  </si>
  <si>
    <t>ORD-2025-0471</t>
  </si>
  <si>
    <t>ORD-2025-0878</t>
  </si>
  <si>
    <t>ORD-2025-0182</t>
  </si>
  <si>
    <t>ORD-2025-0611</t>
  </si>
  <si>
    <t>ORD-2025-0737</t>
  </si>
  <si>
    <t>ORD-2025-0777</t>
  </si>
  <si>
    <t>ORD-2025-0778</t>
  </si>
  <si>
    <t>ORD-2025-0175</t>
  </si>
  <si>
    <t>ORD-2025-0146</t>
  </si>
  <si>
    <t>ORD-2025-0494</t>
  </si>
  <si>
    <t>ORD-2025-0042</t>
  </si>
  <si>
    <t>ORD-2025-0257</t>
  </si>
  <si>
    <t>ORD-2025-0630</t>
  </si>
  <si>
    <t>ORD-2025-0208</t>
  </si>
  <si>
    <t>ORD-2025-0270</t>
  </si>
  <si>
    <t>ORD-2025-0473</t>
  </si>
  <si>
    <t>ORD-2025-0161</t>
  </si>
  <si>
    <t>ORD-2025-0540</t>
  </si>
  <si>
    <t>ORD-2025-0704</t>
  </si>
  <si>
    <t>ORD-2025-0786</t>
  </si>
  <si>
    <t>ORD-2025-0040</t>
  </si>
  <si>
    <t>ORD-2025-0299</t>
  </si>
  <si>
    <t>ORD-2025-0576</t>
  </si>
  <si>
    <t>ORD-2025-0191</t>
  </si>
  <si>
    <t>ORD-2025-0331</t>
  </si>
  <si>
    <t>ORD-2025-0621</t>
  </si>
  <si>
    <t>ORD-2025-0418</t>
  </si>
  <si>
    <t>ORD-2025-0444</t>
  </si>
  <si>
    <t>ORD-2025-0722</t>
  </si>
  <si>
    <t>ORD-2025-0088</t>
  </si>
  <si>
    <t>ORD-2025-0170</t>
  </si>
  <si>
    <t>ORD-2025-0590</t>
  </si>
  <si>
    <t>ORD-2025-0346</t>
  </si>
  <si>
    <t>ORD-2025-0388</t>
  </si>
  <si>
    <t>CUS-1167</t>
  </si>
  <si>
    <t>ORD-2025-0122</t>
  </si>
  <si>
    <t>ORD-2025-0461</t>
  </si>
  <si>
    <t>ORD-2025-0539</t>
  </si>
  <si>
    <t>CUS-1073</t>
  </si>
  <si>
    <t>ORD-2025-0754</t>
  </si>
  <si>
    <t>ORD-2025-0770</t>
  </si>
  <si>
    <t>ORD-2025-0525</t>
  </si>
  <si>
    <t>ORD-2025-0389</t>
  </si>
  <si>
    <t>ORD-2025-0627</t>
  </si>
  <si>
    <t>ORD-2025-0092</t>
  </si>
  <si>
    <t>ORD-2025-0043</t>
  </si>
  <si>
    <t>ORD-2025-0119</t>
  </si>
  <si>
    <t>ORD-2025-0851</t>
  </si>
  <si>
    <t>ORD-2025-0293</t>
  </si>
  <si>
    <t>ORD-2025-0397</t>
  </si>
  <si>
    <t>ORD-2025-0861</t>
  </si>
  <si>
    <t>ORD-2025-0027</t>
  </si>
  <si>
    <t>ORD-2025-0216</t>
  </si>
  <si>
    <t>ORD-2025-0607</t>
  </si>
  <si>
    <t>ORD-2025-0874</t>
  </si>
  <si>
    <t>ORD-2025-0639</t>
  </si>
  <si>
    <t>ORD-2025-0006</t>
  </si>
  <si>
    <t>ORD-2025-0828</t>
  </si>
  <si>
    <t>ORD-2025-0326</t>
  </si>
  <si>
    <t>CUS-1247</t>
  </si>
  <si>
    <t>ORD-2025-0437</t>
  </si>
  <si>
    <t>ORD-2025-0022</t>
  </si>
  <si>
    <t>ORD-2025-0749</t>
  </si>
  <si>
    <t>ORD-2025-0110</t>
  </si>
  <si>
    <t>ORD-2025-0150</t>
  </si>
  <si>
    <t>ORD-2025-0441</t>
  </si>
  <si>
    <t>CUS-1300</t>
  </si>
  <si>
    <t>ORD-2025-0571</t>
  </si>
  <si>
    <t>ORD-2025-0451</t>
  </si>
  <si>
    <t>ORD-2025-0889</t>
  </si>
  <si>
    <t>ORD-2025-0127</t>
  </si>
  <si>
    <t>CUS-1074</t>
  </si>
  <si>
    <t>ORD-2025-0351</t>
  </si>
  <si>
    <t>ORD-2025-0802</t>
  </si>
  <si>
    <t>ORD-2025-0408</t>
  </si>
  <si>
    <t>ORD-2025-0676</t>
  </si>
  <si>
    <t>ORD-2025-0020</t>
  </si>
  <si>
    <t>ORD-2025-0614</t>
  </si>
  <si>
    <t>ORD-2025-0010</t>
  </si>
  <si>
    <t>ORD-2025-0109</t>
  </si>
  <si>
    <t>ORD-2025-0353</t>
  </si>
  <si>
    <t>ORD-2025-0671</t>
  </si>
  <si>
    <t>ORD-2025-0051</t>
  </si>
  <si>
    <t>ORD-2025-0588</t>
  </si>
  <si>
    <t>Average Profit Margin</t>
  </si>
  <si>
    <t>Jan 2023</t>
  </si>
  <si>
    <t>Feb 2023</t>
  </si>
  <si>
    <t>Mar 2023</t>
  </si>
  <si>
    <t>Apr 2023</t>
  </si>
  <si>
    <t>May 2023</t>
  </si>
  <si>
    <t>Jun 2023</t>
  </si>
  <si>
    <t>Jul 2023</t>
  </si>
  <si>
    <t>Aug 2023</t>
  </si>
  <si>
    <t>Sep 2023</t>
  </si>
  <si>
    <t>Oct 2023</t>
  </si>
  <si>
    <t>Nov 2023</t>
  </si>
  <si>
    <t>Dec 2023</t>
  </si>
  <si>
    <t>Jan 2024</t>
  </si>
  <si>
    <t>Feb 2024</t>
  </si>
  <si>
    <t>Mar 2024</t>
  </si>
  <si>
    <t>Apr 2024</t>
  </si>
  <si>
    <t>May 2024</t>
  </si>
  <si>
    <t>Jun 2024</t>
  </si>
  <si>
    <t>Jul 2024</t>
  </si>
  <si>
    <t>Aug 2024</t>
  </si>
  <si>
    <t>Sep 2024</t>
  </si>
  <si>
    <t>Oct 2024</t>
  </si>
  <si>
    <t>Nov 2024</t>
  </si>
  <si>
    <t>Dec 2024</t>
  </si>
  <si>
    <t>Jan 2025</t>
  </si>
  <si>
    <t>Feb 2025</t>
  </si>
  <si>
    <t>Mar 2025</t>
  </si>
  <si>
    <t>Apr 2025</t>
  </si>
  <si>
    <t>May 2025</t>
  </si>
  <si>
    <t>Jun 2025</t>
  </si>
  <si>
    <t>Jul 2025</t>
  </si>
  <si>
    <t>Aug 2025</t>
  </si>
  <si>
    <t>Sep 2025</t>
  </si>
  <si>
    <t>Oct 2025</t>
  </si>
  <si>
    <t>Nov 2025</t>
  </si>
  <si>
    <t>Dec 2025</t>
  </si>
  <si>
    <t>VISUAL 1 | SALES &amp; PROFIT TREND</t>
  </si>
  <si>
    <t>Stakeholder question: How have revenue and profit changed over time?</t>
  </si>
  <si>
    <t>Answer: May 2025 recorded the highest monthly revenue ($36,319) and $11,010 profit.</t>
  </si>
  <si>
    <t>Power BI mapping: Axis = Month-Year | Values = Total Revenue and Total Profit | Visual = Line chart</t>
  </si>
  <si>
    <t>VISUAL 2 | REGIONAL PERFORMANCE</t>
  </si>
  <si>
    <t>Stakeholder question: Which region generates the most revenue and profit?</t>
  </si>
  <si>
    <t>Answer: West generated the highest regional profit ($86,816).</t>
  </si>
  <si>
    <t>Power BI mapping: Axis = Region | Values = Total Revenue and Total Profit | Visual = Clustered column chart</t>
  </si>
  <si>
    <t>VISUAL 3 | CATEGORY PROFITABILITY</t>
  </si>
  <si>
    <t>Stakeholder question: Which product category is the most profitable?</t>
  </si>
  <si>
    <t>Answer: Technology was the most profitable category ($148,944).</t>
  </si>
  <si>
    <t>Power BI mapping: Axis = Category | Value = Total Profit | Visual = Bar chart</t>
  </si>
  <si>
    <t>VISUAL 4 | CUSTOMER &amp; CHANNEL MIX</t>
  </si>
  <si>
    <t>Stakeholder question: How do customer segments and sales channels compare?</t>
  </si>
  <si>
    <t>Answer: Education generated the highest total revenue ($231,395) across the sales channels.</t>
  </si>
  <si>
    <t>Power BI mapping: Axis = Customer Segment | Legend = Sales Channel | Value = Total Revenue | Visual = Clustered column chart</t>
  </si>
  <si>
    <t>VISUAL 5 | DISCOUNT IMPACT</t>
  </si>
  <si>
    <t>Stakeholder question: How do discount levels affect profitability?</t>
  </si>
  <si>
    <t>Answer: The 0% discount group had the highest average profit margin (48.3%).</t>
  </si>
  <si>
    <t>Power BI mapping: Axis = Discount | Value = Average Profit Margin | Visual = Line chart</t>
  </si>
  <si>
    <t>Retail Sales Performance | 2023–2025</t>
  </si>
  <si>
    <t>TOTAL REVENUE</t>
  </si>
  <si>
    <t>TOTAL PROFIT</t>
  </si>
  <si>
    <t>PROFIT MARGIN</t>
  </si>
  <si>
    <t>TRANSACTIONS</t>
  </si>
  <si>
    <t>Q1 answer: May 2025 recorded the highest monthly revenue ($36,319) and $11,010 profit.</t>
  </si>
  <si>
    <t>Q2 answer: West generated the highest regional profit ($86,816).</t>
  </si>
  <si>
    <t>Q3 answer: Technology was the most profitable category ($148,944).</t>
  </si>
  <si>
    <t>Q4 answer: Education generated the highest total revenue ($231,395) across the sales channels.</t>
  </si>
  <si>
    <t>Q5 answer: The 0% discount group had the highest average profit margin (48.3%) in this sample.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</si>
</sst>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&quot;$&quot;#,##0.00"/>
    <numFmt numFmtId="166" formatCode="0.0%"/>
    <numFmt numFmtId="167" formatCode="&quot;$&quot;#,##0"/>
    <numFmt numFmtId="168" formatCode="&quot;$&quot;0.0,&quot;K&quot;"/>
  </numFmts>
  <fonts count="9">
    <font>
      <sz val="11"/>
      <name val="Carlito"/>
    </font>
    <font>
      <b/>
      <sz val="11"/>
      <color rgb="FF1F1F1F"/>
      <name val="Carlito"/>
    </font>
    <font>
      <sz val="11"/>
      <color rgb="FF1F1F1F"/>
      <name val="Carlito"/>
    </font>
    <font>
      <b/>
      <sz val="17"/>
      <color rgb="FF1F1F1F"/>
      <name val="Carlito"/>
    </font>
    <font>
      <b/>
      <sz val="12"/>
      <color rgb="FF1F1F1F"/>
      <name val="Carlito"/>
    </font>
    <font>
      <i/>
      <sz val="10"/>
      <color rgb="FF595959"/>
      <name val="Carlito"/>
    </font>
    <font>
      <b/>
      <sz val="18"/>
      <color rgb="FF1F1F1F"/>
      <name val="Carlito"/>
    </font>
    <font>
      <b/>
      <sz val="10"/>
      <color rgb="FF404040"/>
      <name val="Carlito"/>
    </font>
    <font>
      <i/>
      <sz val="11"/>
      <color rgb="FF385723"/>
      <name val="Carlito"/>
    </font>
  </fonts>
  <fills count="6">
    <fill>
      <patternFill patternType="none"/>
    </fill>
    <fill>
      <patternFill patternType="gray125"/>
    </fill>
    <fill>
      <patternFill patternType="solid">
        <fgColor rgb="FFE7E6E6"/>
      </patternFill>
    </fill>
    <fill>
      <patternFill patternType="solid">
        <fgColor rgb="FFFFFFFF"/>
      </patternFill>
    </fill>
    <fill>
      <patternFill patternType="solid">
        <fgColor rgb="FFE7E6E6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vertical="center" wrapText="1"/>
    </xf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0" applyNumberFormat="1"/>
    <xf numFmtId="1" fontId="2" fillId="3" borderId="0" xfId="0" applyNumberFormat="1" applyFont="1" applyFill="1" applyAlignment="1">
      <alignment horizontal="right"/>
    </xf>
    <xf numFmtId="0" fontId="0" fillId="0" borderId="0" xfId="0" applyAlignment="1">
      <alignment wrapText="1"/>
    </xf>
    <xf numFmtId="0" fontId="1" fillId="4" borderId="0" xfId="0" applyFont="1" applyFill="1" applyAlignment="1">
      <alignment wrapText="1"/>
    </xf>
    <xf numFmtId="167" fontId="0" fillId="0" borderId="0" xfId="0" applyNumberFormat="1" applyAlignment="1">
      <alignment wrapText="1"/>
    </xf>
    <xf numFmtId="9" fontId="0" fillId="0" borderId="0" xfId="0" applyNumberFormat="1" applyAlignment="1">
      <alignment wrapText="1"/>
    </xf>
    <xf numFmtId="166" fontId="0" fillId="0" borderId="0" xfId="0" applyNumberFormat="1" applyAlignment="1">
      <alignment wrapText="1"/>
    </xf>
    <xf numFmtId="0" fontId="0" fillId="5" borderId="0" xfId="0" applyFill="1"/>
    <xf numFmtId="0" fontId="3" fillId="5" borderId="0" xfId="0" applyFont="1" applyFill="1" applyAlignment="1">
      <alignment vertical="center"/>
    </xf>
    <xf numFmtId="0" fontId="4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6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168" fontId="6" fillId="5" borderId="1" xfId="0" applyNumberFormat="1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 vertical="center"/>
    </xf>
    <xf numFmtId="0" fontId="8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Monthly Revenue and Profit Trend (AUD)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Revenue</c:v>
          </c:tx>
          <c:marker>
            <c:symbol val="none"/>
          </c:marker>
          <c:cat>
            <c:strRef>
              <c:f>Calculations!$A$2:$A$37</c:f>
              <c:strCache>
                <c:ptCount val="36"/>
                <c:pt idx="0">
                  <c:v>Jan 2023</c:v>
                </c:pt>
                <c:pt idx="1">
                  <c:v>Feb 2023</c:v>
                </c:pt>
                <c:pt idx="2">
                  <c:v>Mar 2023</c:v>
                </c:pt>
                <c:pt idx="3">
                  <c:v>Apr 2023</c:v>
                </c:pt>
                <c:pt idx="4">
                  <c:v>May 2023</c:v>
                </c:pt>
                <c:pt idx="5">
                  <c:v>Jun 2023</c:v>
                </c:pt>
                <c:pt idx="6">
                  <c:v>Jul 2023</c:v>
                </c:pt>
                <c:pt idx="7">
                  <c:v>Aug 2023</c:v>
                </c:pt>
                <c:pt idx="8">
                  <c:v>Sep 2023</c:v>
                </c:pt>
                <c:pt idx="9">
                  <c:v>Oct 2023</c:v>
                </c:pt>
                <c:pt idx="10">
                  <c:v>Nov 2023</c:v>
                </c:pt>
                <c:pt idx="11">
                  <c:v>Dec 2023</c:v>
                </c:pt>
                <c:pt idx="12">
                  <c:v>Jan 2024</c:v>
                </c:pt>
                <c:pt idx="13">
                  <c:v>Feb 2024</c:v>
                </c:pt>
                <c:pt idx="14">
                  <c:v>Mar 2024</c:v>
                </c:pt>
                <c:pt idx="15">
                  <c:v>Apr 2024</c:v>
                </c:pt>
                <c:pt idx="16">
                  <c:v>May 2024</c:v>
                </c:pt>
                <c:pt idx="17">
                  <c:v>Jun 2024</c:v>
                </c:pt>
                <c:pt idx="18">
                  <c:v>Jul 2024</c:v>
                </c:pt>
                <c:pt idx="19">
                  <c:v>Aug 2024</c:v>
                </c:pt>
                <c:pt idx="20">
                  <c:v>Sep 2024</c:v>
                </c:pt>
                <c:pt idx="21">
                  <c:v>Oct 2024</c:v>
                </c:pt>
                <c:pt idx="22">
                  <c:v>Nov 2024</c:v>
                </c:pt>
                <c:pt idx="23">
                  <c:v>Dec 2024</c:v>
                </c:pt>
                <c:pt idx="24">
                  <c:v>Jan 2025</c:v>
                </c:pt>
                <c:pt idx="25">
                  <c:v>Feb 2025</c:v>
                </c:pt>
                <c:pt idx="26">
                  <c:v>Mar 2025</c:v>
                </c:pt>
                <c:pt idx="27">
                  <c:v>Apr 2025</c:v>
                </c:pt>
                <c:pt idx="28">
                  <c:v>May 2025</c:v>
                </c:pt>
                <c:pt idx="29">
                  <c:v>Jun 2025</c:v>
                </c:pt>
                <c:pt idx="30">
                  <c:v>Jul 2025</c:v>
                </c:pt>
                <c:pt idx="31">
                  <c:v>Aug 2025</c:v>
                </c:pt>
                <c:pt idx="32">
                  <c:v>Sep 2025</c:v>
                </c:pt>
                <c:pt idx="33">
                  <c:v>Oct 2025</c:v>
                </c:pt>
                <c:pt idx="34">
                  <c:v>Nov 2025</c:v>
                </c:pt>
                <c:pt idx="35">
                  <c:v>Dec 2025</c:v>
                </c:pt>
              </c:strCache>
            </c:strRef>
          </c:cat>
          <c:val>
            <c:numRef>
              <c:f>Calculations!$B$2:$B$37</c:f>
              <c:numCache>
                <c:formatCode>"$"#,##0</c:formatCode>
                <c:ptCount val="36"/>
                <c:pt idx="0">
                  <c:v>15391.878499999999</c:v>
                </c:pt>
                <c:pt idx="1">
                  <c:v>16976.192999999999</c:v>
                </c:pt>
                <c:pt idx="2">
                  <c:v>28738.530500000004</c:v>
                </c:pt>
                <c:pt idx="3">
                  <c:v>35944.584999999999</c:v>
                </c:pt>
                <c:pt idx="4">
                  <c:v>28861.899999999998</c:v>
                </c:pt>
                <c:pt idx="5">
                  <c:v>17420.153499999997</c:v>
                </c:pt>
                <c:pt idx="6">
                  <c:v>23319.716500000002</c:v>
                </c:pt>
                <c:pt idx="7">
                  <c:v>25687.531499999997</c:v>
                </c:pt>
                <c:pt idx="8">
                  <c:v>15284.632000000005</c:v>
                </c:pt>
                <c:pt idx="9">
                  <c:v>25639.754000000001</c:v>
                </c:pt>
                <c:pt idx="10">
                  <c:v>19838.03</c:v>
                </c:pt>
                <c:pt idx="11">
                  <c:v>25475.787999999993</c:v>
                </c:pt>
                <c:pt idx="12">
                  <c:v>15888.6325</c:v>
                </c:pt>
                <c:pt idx="13">
                  <c:v>29692.057000000008</c:v>
                </c:pt>
                <c:pt idx="14">
                  <c:v>22881.110000000004</c:v>
                </c:pt>
                <c:pt idx="15">
                  <c:v>31226.885499999997</c:v>
                </c:pt>
                <c:pt idx="16">
                  <c:v>25167.578999999998</c:v>
                </c:pt>
                <c:pt idx="17">
                  <c:v>19511.297500000004</c:v>
                </c:pt>
                <c:pt idx="18">
                  <c:v>30417.730499999994</c:v>
                </c:pt>
                <c:pt idx="19">
                  <c:v>12866.387499999999</c:v>
                </c:pt>
                <c:pt idx="20">
                  <c:v>25614.764500000001</c:v>
                </c:pt>
                <c:pt idx="21">
                  <c:v>27494.143499999995</c:v>
                </c:pt>
                <c:pt idx="22">
                  <c:v>21966.849500000004</c:v>
                </c:pt>
                <c:pt idx="23">
                  <c:v>18430.1685</c:v>
                </c:pt>
                <c:pt idx="24">
                  <c:v>17248.6875</c:v>
                </c:pt>
                <c:pt idx="25">
                  <c:v>29434.287500000002</c:v>
                </c:pt>
                <c:pt idx="26">
                  <c:v>30365.58349999999</c:v>
                </c:pt>
                <c:pt idx="27">
                  <c:v>19230.32</c:v>
                </c:pt>
                <c:pt idx="28">
                  <c:v>36318.748499999994</c:v>
                </c:pt>
                <c:pt idx="29">
                  <c:v>32179.746000000006</c:v>
                </c:pt>
                <c:pt idx="30">
                  <c:v>8927.7439999999988</c:v>
                </c:pt>
                <c:pt idx="31">
                  <c:v>14292.633000000002</c:v>
                </c:pt>
                <c:pt idx="32">
                  <c:v>32035.596000000005</c:v>
                </c:pt>
                <c:pt idx="33">
                  <c:v>24927.151999999998</c:v>
                </c:pt>
                <c:pt idx="34">
                  <c:v>23665.459500000001</c:v>
                </c:pt>
                <c:pt idx="35">
                  <c:v>25215.127499999999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1-431D-8CF2-F752D6DDFBD3}"/>
            </c:ext>
          </c:extLst>
        </c:ser>
        <c:ser>
          <c:idx val="1"/>
          <c:order val="1"/>
          <c:tx>
            <c:v>Profit</c:v>
          </c:tx>
          <c:marker>
            <c:symbol val="none"/>
          </c:marker>
          <c:cat>
            <c:strRef>
              <c:f>Calculations!$A$2:$A$37</c:f>
              <c:strCache>
                <c:ptCount val="36"/>
                <c:pt idx="0">
                  <c:v>Jan 2023</c:v>
                </c:pt>
                <c:pt idx="1">
                  <c:v>Feb 2023</c:v>
                </c:pt>
                <c:pt idx="2">
                  <c:v>Mar 2023</c:v>
                </c:pt>
                <c:pt idx="3">
                  <c:v>Apr 2023</c:v>
                </c:pt>
                <c:pt idx="4">
                  <c:v>May 2023</c:v>
                </c:pt>
                <c:pt idx="5">
                  <c:v>Jun 2023</c:v>
                </c:pt>
                <c:pt idx="6">
                  <c:v>Jul 2023</c:v>
                </c:pt>
                <c:pt idx="7">
                  <c:v>Aug 2023</c:v>
                </c:pt>
                <c:pt idx="8">
                  <c:v>Sep 2023</c:v>
                </c:pt>
                <c:pt idx="9">
                  <c:v>Oct 2023</c:v>
                </c:pt>
                <c:pt idx="10">
                  <c:v>Nov 2023</c:v>
                </c:pt>
                <c:pt idx="11">
                  <c:v>Dec 2023</c:v>
                </c:pt>
                <c:pt idx="12">
                  <c:v>Jan 2024</c:v>
                </c:pt>
                <c:pt idx="13">
                  <c:v>Feb 2024</c:v>
                </c:pt>
                <c:pt idx="14">
                  <c:v>Mar 2024</c:v>
                </c:pt>
                <c:pt idx="15">
                  <c:v>Apr 2024</c:v>
                </c:pt>
                <c:pt idx="16">
                  <c:v>May 2024</c:v>
                </c:pt>
                <c:pt idx="17">
                  <c:v>Jun 2024</c:v>
                </c:pt>
                <c:pt idx="18">
                  <c:v>Jul 2024</c:v>
                </c:pt>
                <c:pt idx="19">
                  <c:v>Aug 2024</c:v>
                </c:pt>
                <c:pt idx="20">
                  <c:v>Sep 2024</c:v>
                </c:pt>
                <c:pt idx="21">
                  <c:v>Oct 2024</c:v>
                </c:pt>
                <c:pt idx="22">
                  <c:v>Nov 2024</c:v>
                </c:pt>
                <c:pt idx="23">
                  <c:v>Dec 2024</c:v>
                </c:pt>
                <c:pt idx="24">
                  <c:v>Jan 2025</c:v>
                </c:pt>
                <c:pt idx="25">
                  <c:v>Feb 2025</c:v>
                </c:pt>
                <c:pt idx="26">
                  <c:v>Mar 2025</c:v>
                </c:pt>
                <c:pt idx="27">
                  <c:v>Apr 2025</c:v>
                </c:pt>
                <c:pt idx="28">
                  <c:v>May 2025</c:v>
                </c:pt>
                <c:pt idx="29">
                  <c:v>Jun 2025</c:v>
                </c:pt>
                <c:pt idx="30">
                  <c:v>Jul 2025</c:v>
                </c:pt>
                <c:pt idx="31">
                  <c:v>Aug 2025</c:v>
                </c:pt>
                <c:pt idx="32">
                  <c:v>Sep 2025</c:v>
                </c:pt>
                <c:pt idx="33">
                  <c:v>Oct 2025</c:v>
                </c:pt>
                <c:pt idx="34">
                  <c:v>Nov 2025</c:v>
                </c:pt>
                <c:pt idx="35">
                  <c:v>Dec 2025</c:v>
                </c:pt>
              </c:strCache>
            </c:strRef>
          </c:cat>
          <c:val>
            <c:numRef>
              <c:f>Calculations!$C$2:$C$37</c:f>
              <c:numCache>
                <c:formatCode>"$"#,##0</c:formatCode>
                <c:ptCount val="36"/>
                <c:pt idx="0">
                  <c:v>6660.218499999999</c:v>
                </c:pt>
                <c:pt idx="1">
                  <c:v>6323.7530000000006</c:v>
                </c:pt>
                <c:pt idx="2">
                  <c:v>10349.640500000003</c:v>
                </c:pt>
                <c:pt idx="3">
                  <c:v>11496.324999999997</c:v>
                </c:pt>
                <c:pt idx="4">
                  <c:v>10802.03</c:v>
                </c:pt>
                <c:pt idx="5">
                  <c:v>5585.1035000000011</c:v>
                </c:pt>
                <c:pt idx="6">
                  <c:v>8809.8164999999972</c:v>
                </c:pt>
                <c:pt idx="7">
                  <c:v>9806.3015000000014</c:v>
                </c:pt>
                <c:pt idx="8">
                  <c:v>4515.1720000000023</c:v>
                </c:pt>
                <c:pt idx="9">
                  <c:v>8337.6740000000009</c:v>
                </c:pt>
                <c:pt idx="10">
                  <c:v>6909.2</c:v>
                </c:pt>
                <c:pt idx="11">
                  <c:v>9338.9979999999978</c:v>
                </c:pt>
                <c:pt idx="12">
                  <c:v>5929.9324999999999</c:v>
                </c:pt>
                <c:pt idx="13">
                  <c:v>10941.867000000002</c:v>
                </c:pt>
                <c:pt idx="14">
                  <c:v>8179.9000000000015</c:v>
                </c:pt>
                <c:pt idx="15">
                  <c:v>11226.285500000002</c:v>
                </c:pt>
                <c:pt idx="16">
                  <c:v>8363.3289999999997</c:v>
                </c:pt>
                <c:pt idx="17">
                  <c:v>6293.887499999998</c:v>
                </c:pt>
                <c:pt idx="18">
                  <c:v>11042.3905</c:v>
                </c:pt>
                <c:pt idx="19">
                  <c:v>5078.3874999999989</c:v>
                </c:pt>
                <c:pt idx="20">
                  <c:v>8741.7145</c:v>
                </c:pt>
                <c:pt idx="21">
                  <c:v>9855.8535000000011</c:v>
                </c:pt>
                <c:pt idx="22">
                  <c:v>8028.139500000002</c:v>
                </c:pt>
                <c:pt idx="23">
                  <c:v>6324.0185000000001</c:v>
                </c:pt>
                <c:pt idx="24">
                  <c:v>6840.6174999999994</c:v>
                </c:pt>
                <c:pt idx="25">
                  <c:v>11057.977500000001</c:v>
                </c:pt>
                <c:pt idx="26">
                  <c:v>10274.0535</c:v>
                </c:pt>
                <c:pt idx="27">
                  <c:v>6684.7100000000009</c:v>
                </c:pt>
                <c:pt idx="28">
                  <c:v>11009.558500000001</c:v>
                </c:pt>
                <c:pt idx="29">
                  <c:v>10151.505999999999</c:v>
                </c:pt>
                <c:pt idx="30">
                  <c:v>3718.9239999999995</c:v>
                </c:pt>
                <c:pt idx="31">
                  <c:v>6021.5429999999978</c:v>
                </c:pt>
                <c:pt idx="32">
                  <c:v>11137.686000000002</c:v>
                </c:pt>
                <c:pt idx="33">
                  <c:v>8011.0120000000015</c:v>
                </c:pt>
                <c:pt idx="34">
                  <c:v>8582.709499999999</c:v>
                </c:pt>
                <c:pt idx="35">
                  <c:v>8812.5175000000017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21-431D-8CF2-F752D6DDF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675"/>
            </a:pPr>
            <a:endParaRPr lang="en-US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&quot;$&quot;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Revenue and Profit by Region (AUD)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Calculations!$E$2:$E$5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Calculations!$F$2:$F$5</c:f>
              <c:numCache>
                <c:formatCode>"$"#,##0</c:formatCode>
                <c:ptCount val="4"/>
                <c:pt idx="0">
                  <c:v>203805.49049999993</c:v>
                </c:pt>
                <c:pt idx="1">
                  <c:v>200478.74700000009</c:v>
                </c:pt>
                <c:pt idx="2">
                  <c:v>205166.5040000001</c:v>
                </c:pt>
                <c:pt idx="3">
                  <c:v>244126.64150000014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9-4B2A-94BA-C0A9A63CFAA3}"/>
            </c:ext>
          </c:extLst>
        </c:ser>
        <c:ser>
          <c:idx val="1"/>
          <c:order val="1"/>
          <c:tx>
            <c:v>Profit</c:v>
          </c:tx>
          <c:invertIfNegative val="1"/>
          <c:cat>
            <c:strRef>
              <c:f>Calculations!$E$2:$E$5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Calculations!$G$2:$G$5</c:f>
              <c:numCache>
                <c:formatCode>"$"#,##0</c:formatCode>
                <c:ptCount val="4"/>
                <c:pt idx="0">
                  <c:v>73878.320500000002</c:v>
                </c:pt>
                <c:pt idx="1">
                  <c:v>70651.937000000034</c:v>
                </c:pt>
                <c:pt idx="2">
                  <c:v>69896.75400000003</c:v>
                </c:pt>
                <c:pt idx="3">
                  <c:v>86815.741500000018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9-4B2A-94BA-C0A9A63C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&quot;$&quot;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Profit by Product Category (AUD)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Profit</c:v>
          </c:tx>
          <c:invertIfNegative val="1"/>
          <c:cat>
            <c:strRef>
              <c:f>Calculations!$I$2:$I$4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Calculations!$J$2:$J$4</c:f>
              <c:numCache>
                <c:formatCode>"$"#,##0</c:formatCode>
                <c:ptCount val="3"/>
                <c:pt idx="0">
                  <c:v>122941.93550000009</c:v>
                </c:pt>
                <c:pt idx="1">
                  <c:v>29357.148499999999</c:v>
                </c:pt>
                <c:pt idx="2">
                  <c:v>148943.66899999999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3-4644-AB79-CA179A36B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&quot;$&quot;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Revenue by Segment and Sales Channel (AUD)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Online</c:v>
          </c:tx>
          <c:invertIfNegative val="1"/>
          <c:cat>
            <c:strRef>
              <c:f>Calculations!$L$2:$L$5</c:f>
              <c:strCache>
                <c:ptCount val="4"/>
                <c:pt idx="0">
                  <c:v>Consumer</c:v>
                </c:pt>
                <c:pt idx="1">
                  <c:v>Corporate</c:v>
                </c:pt>
                <c:pt idx="2">
                  <c:v>Education</c:v>
                </c:pt>
                <c:pt idx="3">
                  <c:v>Small Business</c:v>
                </c:pt>
              </c:strCache>
            </c:strRef>
          </c:cat>
          <c:val>
            <c:numRef>
              <c:f>Calculations!$M$2:$M$5</c:f>
              <c:numCache>
                <c:formatCode>"$"#,##0</c:formatCode>
                <c:ptCount val="4"/>
                <c:pt idx="0">
                  <c:v>53217.519499999988</c:v>
                </c:pt>
                <c:pt idx="1">
                  <c:v>74026.380999999994</c:v>
                </c:pt>
                <c:pt idx="2">
                  <c:v>72214.196500000005</c:v>
                </c:pt>
                <c:pt idx="3">
                  <c:v>49163.521999999997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E-4829-A839-9737BE2F04B0}"/>
            </c:ext>
          </c:extLst>
        </c:ser>
        <c:ser>
          <c:idx val="1"/>
          <c:order val="1"/>
          <c:tx>
            <c:v>Retail Store</c:v>
          </c:tx>
          <c:invertIfNegative val="1"/>
          <c:cat>
            <c:strRef>
              <c:f>Calculations!$L$2:$L$5</c:f>
              <c:strCache>
                <c:ptCount val="4"/>
                <c:pt idx="0">
                  <c:v>Consumer</c:v>
                </c:pt>
                <c:pt idx="1">
                  <c:v>Corporate</c:v>
                </c:pt>
                <c:pt idx="2">
                  <c:v>Education</c:v>
                </c:pt>
                <c:pt idx="3">
                  <c:v>Small Business</c:v>
                </c:pt>
              </c:strCache>
            </c:strRef>
          </c:cat>
          <c:val>
            <c:numRef>
              <c:f>Calculations!$N$2:$N$5</c:f>
              <c:numCache>
                <c:formatCode>"$"#,##0</c:formatCode>
                <c:ptCount val="4"/>
                <c:pt idx="0">
                  <c:v>64321.51650000002</c:v>
                </c:pt>
                <c:pt idx="1">
                  <c:v>67080.058499999985</c:v>
                </c:pt>
                <c:pt idx="2">
                  <c:v>64054.994999999981</c:v>
                </c:pt>
                <c:pt idx="3">
                  <c:v>83042.560999999987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E-4829-A839-9737BE2F04B0}"/>
            </c:ext>
          </c:extLst>
        </c:ser>
        <c:ser>
          <c:idx val="2"/>
          <c:order val="2"/>
          <c:tx>
            <c:v>Corporate Sales</c:v>
          </c:tx>
          <c:invertIfNegative val="1"/>
          <c:cat>
            <c:strRef>
              <c:f>Calculations!$L$2:$L$5</c:f>
              <c:strCache>
                <c:ptCount val="4"/>
                <c:pt idx="0">
                  <c:v>Consumer</c:v>
                </c:pt>
                <c:pt idx="1">
                  <c:v>Corporate</c:v>
                </c:pt>
                <c:pt idx="2">
                  <c:v>Education</c:v>
                </c:pt>
                <c:pt idx="3">
                  <c:v>Small Business</c:v>
                </c:pt>
              </c:strCache>
            </c:strRef>
          </c:cat>
          <c:val>
            <c:numRef>
              <c:f>Calculations!$O$2:$O$5</c:f>
              <c:numCache>
                <c:formatCode>"$"#,##0</c:formatCode>
                <c:ptCount val="4"/>
                <c:pt idx="0">
                  <c:v>83439.695999999982</c:v>
                </c:pt>
                <c:pt idx="1">
                  <c:v>88659.249000000011</c:v>
                </c:pt>
                <c:pt idx="2">
                  <c:v>95126.046499999997</c:v>
                </c:pt>
                <c:pt idx="3">
                  <c:v>59231.641499999969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DE-4829-A839-9737BE2F0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&quot;$&quot;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Average Profit Margin by Discount Level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Profit Margin</c:v>
          </c:tx>
          <c:marker>
            <c:symbol val="none"/>
          </c:marker>
          <c:cat>
            <c:numRef>
              <c:f>Calculations!$Q$2:$Q$6</c:f>
              <c:numCache>
                <c:formatCode>0%</c:formatCode>
                <c:ptCount val="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</c:numCache>
            </c:numRef>
          </c:cat>
          <c:val>
            <c:numRef>
              <c:f>Calculations!$R$2:$R$6</c:f>
              <c:numCache>
                <c:formatCode>0.0%</c:formatCode>
                <c:ptCount val="5"/>
                <c:pt idx="0">
                  <c:v>0.48306793128008979</c:v>
                </c:pt>
                <c:pt idx="1">
                  <c:v>0.45996459957446112</c:v>
                </c:pt>
                <c:pt idx="2">
                  <c:v>0.41163812996775245</c:v>
                </c:pt>
                <c:pt idx="3">
                  <c:v>0.39709250701058457</c:v>
                </c:pt>
                <c:pt idx="4">
                  <c:v>0.34135279868332774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3-4538-B2F8-C048AD2E9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%" sourceLinked="1"/>
        <c:majorTickMark val="none"/>
        <c:minorTickMark val="none"/>
        <c:tickLblPos val="nextTo"/>
        <c:txPr>
          <a:bodyPr anchorCtr="1"/>
          <a:lstStyle/>
          <a:p>
            <a:pPr>
              <a:defRPr sz="675"/>
            </a:pPr>
            <a:endParaRPr lang="en-US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%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US"/>
              <a:t>1. Monthly Revenue and Profit Trend (AUD)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Revenue</c:v>
          </c:tx>
          <c:marker>
            <c:symbol val="none"/>
          </c:marker>
          <c:cat>
            <c:strRef>
              <c:f>Calculations!$A$2:$A$37</c:f>
              <c:strCache>
                <c:ptCount val="36"/>
                <c:pt idx="0">
                  <c:v>Jan 2023</c:v>
                </c:pt>
                <c:pt idx="1">
                  <c:v>Feb 2023</c:v>
                </c:pt>
                <c:pt idx="2">
                  <c:v>Mar 2023</c:v>
                </c:pt>
                <c:pt idx="3">
                  <c:v>Apr 2023</c:v>
                </c:pt>
                <c:pt idx="4">
                  <c:v>May 2023</c:v>
                </c:pt>
                <c:pt idx="5">
                  <c:v>Jun 2023</c:v>
                </c:pt>
                <c:pt idx="6">
                  <c:v>Jul 2023</c:v>
                </c:pt>
                <c:pt idx="7">
                  <c:v>Aug 2023</c:v>
                </c:pt>
                <c:pt idx="8">
                  <c:v>Sep 2023</c:v>
                </c:pt>
                <c:pt idx="9">
                  <c:v>Oct 2023</c:v>
                </c:pt>
                <c:pt idx="10">
                  <c:v>Nov 2023</c:v>
                </c:pt>
                <c:pt idx="11">
                  <c:v>Dec 2023</c:v>
                </c:pt>
                <c:pt idx="12">
                  <c:v>Jan 2024</c:v>
                </c:pt>
                <c:pt idx="13">
                  <c:v>Feb 2024</c:v>
                </c:pt>
                <c:pt idx="14">
                  <c:v>Mar 2024</c:v>
                </c:pt>
                <c:pt idx="15">
                  <c:v>Apr 2024</c:v>
                </c:pt>
                <c:pt idx="16">
                  <c:v>May 2024</c:v>
                </c:pt>
                <c:pt idx="17">
                  <c:v>Jun 2024</c:v>
                </c:pt>
                <c:pt idx="18">
                  <c:v>Jul 2024</c:v>
                </c:pt>
                <c:pt idx="19">
                  <c:v>Aug 2024</c:v>
                </c:pt>
                <c:pt idx="20">
                  <c:v>Sep 2024</c:v>
                </c:pt>
                <c:pt idx="21">
                  <c:v>Oct 2024</c:v>
                </c:pt>
                <c:pt idx="22">
                  <c:v>Nov 2024</c:v>
                </c:pt>
                <c:pt idx="23">
                  <c:v>Dec 2024</c:v>
                </c:pt>
                <c:pt idx="24">
                  <c:v>Jan 2025</c:v>
                </c:pt>
                <c:pt idx="25">
                  <c:v>Feb 2025</c:v>
                </c:pt>
                <c:pt idx="26">
                  <c:v>Mar 2025</c:v>
                </c:pt>
                <c:pt idx="27">
                  <c:v>Apr 2025</c:v>
                </c:pt>
                <c:pt idx="28">
                  <c:v>May 2025</c:v>
                </c:pt>
                <c:pt idx="29">
                  <c:v>Jun 2025</c:v>
                </c:pt>
                <c:pt idx="30">
                  <c:v>Jul 2025</c:v>
                </c:pt>
                <c:pt idx="31">
                  <c:v>Aug 2025</c:v>
                </c:pt>
                <c:pt idx="32">
                  <c:v>Sep 2025</c:v>
                </c:pt>
                <c:pt idx="33">
                  <c:v>Oct 2025</c:v>
                </c:pt>
                <c:pt idx="34">
                  <c:v>Nov 2025</c:v>
                </c:pt>
                <c:pt idx="35">
                  <c:v>Dec 2025</c:v>
                </c:pt>
              </c:strCache>
            </c:strRef>
          </c:cat>
          <c:val>
            <c:numRef>
              <c:f>Calculations!$B$2:$B$37</c:f>
              <c:numCache>
                <c:formatCode>"$"#,##0</c:formatCode>
                <c:ptCount val="36"/>
                <c:pt idx="0">
                  <c:v>15391.878499999999</c:v>
                </c:pt>
                <c:pt idx="1">
                  <c:v>16976.192999999999</c:v>
                </c:pt>
                <c:pt idx="2">
                  <c:v>28738.530500000004</c:v>
                </c:pt>
                <c:pt idx="3">
                  <c:v>35944.584999999999</c:v>
                </c:pt>
                <c:pt idx="4">
                  <c:v>28861.899999999998</c:v>
                </c:pt>
                <c:pt idx="5">
                  <c:v>17420.153499999997</c:v>
                </c:pt>
                <c:pt idx="6">
                  <c:v>23319.716500000002</c:v>
                </c:pt>
                <c:pt idx="7">
                  <c:v>25687.531499999997</c:v>
                </c:pt>
                <c:pt idx="8">
                  <c:v>15284.632000000005</c:v>
                </c:pt>
                <c:pt idx="9">
                  <c:v>25639.754000000001</c:v>
                </c:pt>
                <c:pt idx="10">
                  <c:v>19838.03</c:v>
                </c:pt>
                <c:pt idx="11">
                  <c:v>25475.787999999993</c:v>
                </c:pt>
                <c:pt idx="12">
                  <c:v>15888.6325</c:v>
                </c:pt>
                <c:pt idx="13">
                  <c:v>29692.057000000008</c:v>
                </c:pt>
                <c:pt idx="14">
                  <c:v>22881.110000000004</c:v>
                </c:pt>
                <c:pt idx="15">
                  <c:v>31226.885499999997</c:v>
                </c:pt>
                <c:pt idx="16">
                  <c:v>25167.578999999998</c:v>
                </c:pt>
                <c:pt idx="17">
                  <c:v>19511.297500000004</c:v>
                </c:pt>
                <c:pt idx="18">
                  <c:v>30417.730499999994</c:v>
                </c:pt>
                <c:pt idx="19">
                  <c:v>12866.387499999999</c:v>
                </c:pt>
                <c:pt idx="20">
                  <c:v>25614.764500000001</c:v>
                </c:pt>
                <c:pt idx="21">
                  <c:v>27494.143499999995</c:v>
                </c:pt>
                <c:pt idx="22">
                  <c:v>21966.849500000004</c:v>
                </c:pt>
                <c:pt idx="23">
                  <c:v>18430.1685</c:v>
                </c:pt>
                <c:pt idx="24">
                  <c:v>17248.6875</c:v>
                </c:pt>
                <c:pt idx="25">
                  <c:v>29434.287500000002</c:v>
                </c:pt>
                <c:pt idx="26">
                  <c:v>30365.58349999999</c:v>
                </c:pt>
                <c:pt idx="27">
                  <c:v>19230.32</c:v>
                </c:pt>
                <c:pt idx="28">
                  <c:v>36318.748499999994</c:v>
                </c:pt>
                <c:pt idx="29">
                  <c:v>32179.746000000006</c:v>
                </c:pt>
                <c:pt idx="30">
                  <c:v>8927.7439999999988</c:v>
                </c:pt>
                <c:pt idx="31">
                  <c:v>14292.633000000002</c:v>
                </c:pt>
                <c:pt idx="32">
                  <c:v>32035.596000000005</c:v>
                </c:pt>
                <c:pt idx="33">
                  <c:v>24927.151999999998</c:v>
                </c:pt>
                <c:pt idx="34">
                  <c:v>23665.459500000001</c:v>
                </c:pt>
                <c:pt idx="35">
                  <c:v>25215.127499999999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08-4380-AC16-6DEEDA69AFC1}"/>
            </c:ext>
          </c:extLst>
        </c:ser>
        <c:ser>
          <c:idx val="1"/>
          <c:order val="1"/>
          <c:tx>
            <c:v>Profit</c:v>
          </c:tx>
          <c:marker>
            <c:symbol val="none"/>
          </c:marker>
          <c:cat>
            <c:strRef>
              <c:f>Calculations!$A$2:$A$37</c:f>
              <c:strCache>
                <c:ptCount val="36"/>
                <c:pt idx="0">
                  <c:v>Jan 2023</c:v>
                </c:pt>
                <c:pt idx="1">
                  <c:v>Feb 2023</c:v>
                </c:pt>
                <c:pt idx="2">
                  <c:v>Mar 2023</c:v>
                </c:pt>
                <c:pt idx="3">
                  <c:v>Apr 2023</c:v>
                </c:pt>
                <c:pt idx="4">
                  <c:v>May 2023</c:v>
                </c:pt>
                <c:pt idx="5">
                  <c:v>Jun 2023</c:v>
                </c:pt>
                <c:pt idx="6">
                  <c:v>Jul 2023</c:v>
                </c:pt>
                <c:pt idx="7">
                  <c:v>Aug 2023</c:v>
                </c:pt>
                <c:pt idx="8">
                  <c:v>Sep 2023</c:v>
                </c:pt>
                <c:pt idx="9">
                  <c:v>Oct 2023</c:v>
                </c:pt>
                <c:pt idx="10">
                  <c:v>Nov 2023</c:v>
                </c:pt>
                <c:pt idx="11">
                  <c:v>Dec 2023</c:v>
                </c:pt>
                <c:pt idx="12">
                  <c:v>Jan 2024</c:v>
                </c:pt>
                <c:pt idx="13">
                  <c:v>Feb 2024</c:v>
                </c:pt>
                <c:pt idx="14">
                  <c:v>Mar 2024</c:v>
                </c:pt>
                <c:pt idx="15">
                  <c:v>Apr 2024</c:v>
                </c:pt>
                <c:pt idx="16">
                  <c:v>May 2024</c:v>
                </c:pt>
                <c:pt idx="17">
                  <c:v>Jun 2024</c:v>
                </c:pt>
                <c:pt idx="18">
                  <c:v>Jul 2024</c:v>
                </c:pt>
                <c:pt idx="19">
                  <c:v>Aug 2024</c:v>
                </c:pt>
                <c:pt idx="20">
                  <c:v>Sep 2024</c:v>
                </c:pt>
                <c:pt idx="21">
                  <c:v>Oct 2024</c:v>
                </c:pt>
                <c:pt idx="22">
                  <c:v>Nov 2024</c:v>
                </c:pt>
                <c:pt idx="23">
                  <c:v>Dec 2024</c:v>
                </c:pt>
                <c:pt idx="24">
                  <c:v>Jan 2025</c:v>
                </c:pt>
                <c:pt idx="25">
                  <c:v>Feb 2025</c:v>
                </c:pt>
                <c:pt idx="26">
                  <c:v>Mar 2025</c:v>
                </c:pt>
                <c:pt idx="27">
                  <c:v>Apr 2025</c:v>
                </c:pt>
                <c:pt idx="28">
                  <c:v>May 2025</c:v>
                </c:pt>
                <c:pt idx="29">
                  <c:v>Jun 2025</c:v>
                </c:pt>
                <c:pt idx="30">
                  <c:v>Jul 2025</c:v>
                </c:pt>
                <c:pt idx="31">
                  <c:v>Aug 2025</c:v>
                </c:pt>
                <c:pt idx="32">
                  <c:v>Sep 2025</c:v>
                </c:pt>
                <c:pt idx="33">
                  <c:v>Oct 2025</c:v>
                </c:pt>
                <c:pt idx="34">
                  <c:v>Nov 2025</c:v>
                </c:pt>
                <c:pt idx="35">
                  <c:v>Dec 2025</c:v>
                </c:pt>
              </c:strCache>
            </c:strRef>
          </c:cat>
          <c:val>
            <c:numRef>
              <c:f>Calculations!$C$2:$C$37</c:f>
              <c:numCache>
                <c:formatCode>"$"#,##0</c:formatCode>
                <c:ptCount val="36"/>
                <c:pt idx="0">
                  <c:v>6660.218499999999</c:v>
                </c:pt>
                <c:pt idx="1">
                  <c:v>6323.7530000000006</c:v>
                </c:pt>
                <c:pt idx="2">
                  <c:v>10349.640500000003</c:v>
                </c:pt>
                <c:pt idx="3">
                  <c:v>11496.324999999997</c:v>
                </c:pt>
                <c:pt idx="4">
                  <c:v>10802.03</c:v>
                </c:pt>
                <c:pt idx="5">
                  <c:v>5585.1035000000011</c:v>
                </c:pt>
                <c:pt idx="6">
                  <c:v>8809.8164999999972</c:v>
                </c:pt>
                <c:pt idx="7">
                  <c:v>9806.3015000000014</c:v>
                </c:pt>
                <c:pt idx="8">
                  <c:v>4515.1720000000023</c:v>
                </c:pt>
                <c:pt idx="9">
                  <c:v>8337.6740000000009</c:v>
                </c:pt>
                <c:pt idx="10">
                  <c:v>6909.2</c:v>
                </c:pt>
                <c:pt idx="11">
                  <c:v>9338.9979999999978</c:v>
                </c:pt>
                <c:pt idx="12">
                  <c:v>5929.9324999999999</c:v>
                </c:pt>
                <c:pt idx="13">
                  <c:v>10941.867000000002</c:v>
                </c:pt>
                <c:pt idx="14">
                  <c:v>8179.9000000000015</c:v>
                </c:pt>
                <c:pt idx="15">
                  <c:v>11226.285500000002</c:v>
                </c:pt>
                <c:pt idx="16">
                  <c:v>8363.3289999999997</c:v>
                </c:pt>
                <c:pt idx="17">
                  <c:v>6293.887499999998</c:v>
                </c:pt>
                <c:pt idx="18">
                  <c:v>11042.3905</c:v>
                </c:pt>
                <c:pt idx="19">
                  <c:v>5078.3874999999989</c:v>
                </c:pt>
                <c:pt idx="20">
                  <c:v>8741.7145</c:v>
                </c:pt>
                <c:pt idx="21">
                  <c:v>9855.8535000000011</c:v>
                </c:pt>
                <c:pt idx="22">
                  <c:v>8028.139500000002</c:v>
                </c:pt>
                <c:pt idx="23">
                  <c:v>6324.0185000000001</c:v>
                </c:pt>
                <c:pt idx="24">
                  <c:v>6840.6174999999994</c:v>
                </c:pt>
                <c:pt idx="25">
                  <c:v>11057.977500000001</c:v>
                </c:pt>
                <c:pt idx="26">
                  <c:v>10274.0535</c:v>
                </c:pt>
                <c:pt idx="27">
                  <c:v>6684.7100000000009</c:v>
                </c:pt>
                <c:pt idx="28">
                  <c:v>11009.558500000001</c:v>
                </c:pt>
                <c:pt idx="29">
                  <c:v>10151.505999999999</c:v>
                </c:pt>
                <c:pt idx="30">
                  <c:v>3718.9239999999995</c:v>
                </c:pt>
                <c:pt idx="31">
                  <c:v>6021.5429999999978</c:v>
                </c:pt>
                <c:pt idx="32">
                  <c:v>11137.686000000002</c:v>
                </c:pt>
                <c:pt idx="33">
                  <c:v>8011.0120000000015</c:v>
                </c:pt>
                <c:pt idx="34">
                  <c:v>8582.709499999999</c:v>
                </c:pt>
                <c:pt idx="35">
                  <c:v>8812.5175000000017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8-4380-AC16-6DEEDA69A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600"/>
            </a:pPr>
            <a:endParaRPr lang="en-US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&quot;$&quot;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US"/>
              <a:t>2. Revenue and Profit by Region (AUD)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1"/>
          <c:cat>
            <c:strRef>
              <c:f>Calculations!$E$2:$E$5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Calculations!$F$2:$F$5</c:f>
              <c:numCache>
                <c:formatCode>"$"#,##0</c:formatCode>
                <c:ptCount val="4"/>
                <c:pt idx="0">
                  <c:v>203805.49049999993</c:v>
                </c:pt>
                <c:pt idx="1">
                  <c:v>200478.74700000009</c:v>
                </c:pt>
                <c:pt idx="2">
                  <c:v>205166.5040000001</c:v>
                </c:pt>
                <c:pt idx="3">
                  <c:v>244126.64150000014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F7-404E-981E-6E9493BDD6EB}"/>
            </c:ext>
          </c:extLst>
        </c:ser>
        <c:ser>
          <c:idx val="1"/>
          <c:order val="1"/>
          <c:tx>
            <c:v>Profit</c:v>
          </c:tx>
          <c:invertIfNegative val="1"/>
          <c:cat>
            <c:strRef>
              <c:f>Calculations!$E$2:$E$5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Calculations!$G$2:$G$5</c:f>
              <c:numCache>
                <c:formatCode>"$"#,##0</c:formatCode>
                <c:ptCount val="4"/>
                <c:pt idx="0">
                  <c:v>73878.320500000002</c:v>
                </c:pt>
                <c:pt idx="1">
                  <c:v>70651.937000000034</c:v>
                </c:pt>
                <c:pt idx="2">
                  <c:v>69896.75400000003</c:v>
                </c:pt>
                <c:pt idx="3">
                  <c:v>86815.741500000018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F7-404E-981E-6E9493BDD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&quot;$&quot;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US"/>
              <a:t>3. Profit by Product Category (AUD)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Profit</c:v>
          </c:tx>
          <c:invertIfNegative val="1"/>
          <c:cat>
            <c:strRef>
              <c:f>Calculations!$I$2:$I$4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Calculations!$J$2:$J$4</c:f>
              <c:numCache>
                <c:formatCode>"$"#,##0</c:formatCode>
                <c:ptCount val="3"/>
                <c:pt idx="0">
                  <c:v>122941.93550000009</c:v>
                </c:pt>
                <c:pt idx="1">
                  <c:v>29357.148499999999</c:v>
                </c:pt>
                <c:pt idx="2">
                  <c:v>148943.66899999999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6-4A90-B762-D01041157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&quot;$&quot;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US"/>
              <a:t>4. Revenue by Segment and Sales Channel (AUD)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Online</c:v>
          </c:tx>
          <c:invertIfNegative val="1"/>
          <c:cat>
            <c:strRef>
              <c:f>Calculations!$L$2:$L$5</c:f>
              <c:strCache>
                <c:ptCount val="4"/>
                <c:pt idx="0">
                  <c:v>Consumer</c:v>
                </c:pt>
                <c:pt idx="1">
                  <c:v>Corporate</c:v>
                </c:pt>
                <c:pt idx="2">
                  <c:v>Education</c:v>
                </c:pt>
                <c:pt idx="3">
                  <c:v>Small Business</c:v>
                </c:pt>
              </c:strCache>
            </c:strRef>
          </c:cat>
          <c:val>
            <c:numRef>
              <c:f>Calculations!$M$2:$M$5</c:f>
              <c:numCache>
                <c:formatCode>"$"#,##0</c:formatCode>
                <c:ptCount val="4"/>
                <c:pt idx="0">
                  <c:v>53217.519499999988</c:v>
                </c:pt>
                <c:pt idx="1">
                  <c:v>74026.380999999994</c:v>
                </c:pt>
                <c:pt idx="2">
                  <c:v>72214.196500000005</c:v>
                </c:pt>
                <c:pt idx="3">
                  <c:v>49163.521999999997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B-44EF-AB44-33C90AD8B0C1}"/>
            </c:ext>
          </c:extLst>
        </c:ser>
        <c:ser>
          <c:idx val="1"/>
          <c:order val="1"/>
          <c:tx>
            <c:v>Retail Store</c:v>
          </c:tx>
          <c:invertIfNegative val="1"/>
          <c:cat>
            <c:strRef>
              <c:f>Calculations!$L$2:$L$5</c:f>
              <c:strCache>
                <c:ptCount val="4"/>
                <c:pt idx="0">
                  <c:v>Consumer</c:v>
                </c:pt>
                <c:pt idx="1">
                  <c:v>Corporate</c:v>
                </c:pt>
                <c:pt idx="2">
                  <c:v>Education</c:v>
                </c:pt>
                <c:pt idx="3">
                  <c:v>Small Business</c:v>
                </c:pt>
              </c:strCache>
            </c:strRef>
          </c:cat>
          <c:val>
            <c:numRef>
              <c:f>Calculations!$N$2:$N$5</c:f>
              <c:numCache>
                <c:formatCode>"$"#,##0</c:formatCode>
                <c:ptCount val="4"/>
                <c:pt idx="0">
                  <c:v>64321.51650000002</c:v>
                </c:pt>
                <c:pt idx="1">
                  <c:v>67080.058499999985</c:v>
                </c:pt>
                <c:pt idx="2">
                  <c:v>64054.994999999981</c:v>
                </c:pt>
                <c:pt idx="3">
                  <c:v>83042.560999999987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B-44EF-AB44-33C90AD8B0C1}"/>
            </c:ext>
          </c:extLst>
        </c:ser>
        <c:ser>
          <c:idx val="2"/>
          <c:order val="2"/>
          <c:tx>
            <c:v>Corporate Sales</c:v>
          </c:tx>
          <c:invertIfNegative val="1"/>
          <c:cat>
            <c:strRef>
              <c:f>Calculations!$L$2:$L$5</c:f>
              <c:strCache>
                <c:ptCount val="4"/>
                <c:pt idx="0">
                  <c:v>Consumer</c:v>
                </c:pt>
                <c:pt idx="1">
                  <c:v>Corporate</c:v>
                </c:pt>
                <c:pt idx="2">
                  <c:v>Education</c:v>
                </c:pt>
                <c:pt idx="3">
                  <c:v>Small Business</c:v>
                </c:pt>
              </c:strCache>
            </c:strRef>
          </c:cat>
          <c:val>
            <c:numRef>
              <c:f>Calculations!$O$2:$O$5</c:f>
              <c:numCache>
                <c:formatCode>"$"#,##0</c:formatCode>
                <c:ptCount val="4"/>
                <c:pt idx="0">
                  <c:v>83439.695999999982</c:v>
                </c:pt>
                <c:pt idx="1">
                  <c:v>88659.249000000011</c:v>
                </c:pt>
                <c:pt idx="2">
                  <c:v>95126.046499999997</c:v>
                </c:pt>
                <c:pt idx="3">
                  <c:v>59231.641499999969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B-44EF-AB44-33C90AD8B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&quot;$&quot;#,##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US"/>
              <a:t>5. Average Profit Margin by Discount Level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Average Profit Margin</c:v>
          </c:tx>
          <c:marker>
            <c:symbol val="none"/>
          </c:marker>
          <c:cat>
            <c:numRef>
              <c:f>Calculations!$Q$2:$Q$6</c:f>
              <c:numCache>
                <c:formatCode>0%</c:formatCode>
                <c:ptCount val="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</c:numCache>
            </c:numRef>
          </c:cat>
          <c:val>
            <c:numRef>
              <c:f>Calculations!$R$2:$R$6</c:f>
              <c:numCache>
                <c:formatCode>0.0%</c:formatCode>
                <c:ptCount val="5"/>
                <c:pt idx="0">
                  <c:v>0.48306793128008979</c:v>
                </c:pt>
                <c:pt idx="1">
                  <c:v>0.45996459957446112</c:v>
                </c:pt>
                <c:pt idx="2">
                  <c:v>0.41163812996775245</c:v>
                </c:pt>
                <c:pt idx="3">
                  <c:v>0.39709250701058457</c:v>
                </c:pt>
                <c:pt idx="4">
                  <c:v>0.34135279868332774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2F-465B-B012-FBDA5FF59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%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%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9</xdr:col>
      <xdr:colOff>0</xdr:colOff>
      <xdr:row>22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6</xdr:row>
      <xdr:rowOff>0</xdr:rowOff>
    </xdr:from>
    <xdr:to>
      <xdr:col>18</xdr:col>
      <xdr:colOff>0</xdr:colOff>
      <xdr:row>22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9</xdr:col>
      <xdr:colOff>0</xdr:colOff>
      <xdr:row>41</xdr:row>
      <xdr:rowOff>0</xdr:rowOff>
    </xdr:to>
    <xdr:graphicFrame macro="">
      <xdr:nvGraphicFramePr>
        <xdr:cNvPr id="4" name="Chart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18</xdr:col>
      <xdr:colOff>0</xdr:colOff>
      <xdr:row>41</xdr:row>
      <xdr:rowOff>0</xdr:rowOff>
    </xdr:to>
    <xdr:graphicFrame macro="">
      <xdr:nvGraphicFramePr>
        <xdr:cNvPr id="5" name="Char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15</xdr:col>
      <xdr:colOff>0</xdr:colOff>
      <xdr:row>59</xdr:row>
      <xdr:rowOff>0</xdr:rowOff>
    </xdr:to>
    <xdr:graphicFrame macro="">
      <xdr:nvGraphicFramePr>
        <xdr:cNvPr id="6" name="Chart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Data" displayName="SalesData" ref="A1:Y901" totalsRowShown="0">
  <autoFilter ref="A1:Y901" xr:uid="{00000000-0009-0000-0100-000001000000}"/>
  <tableColumns count="25">
    <tableColumn id="1" xr3:uid="{00000000-0010-0000-0000-000001000000}" name="Order ID"/>
    <tableColumn id="2" xr3:uid="{00000000-0010-0000-0000-000002000000}" name="Order Date"/>
    <tableColumn id="3" xr3:uid="{00000000-0010-0000-0000-000003000000}" name="Year"/>
    <tableColumn id="4" xr3:uid="{00000000-0010-0000-0000-000004000000}" name="Quarter"/>
    <tableColumn id="5" xr3:uid="{00000000-0010-0000-0000-000005000000}" name="Month"/>
    <tableColumn id="6" xr3:uid="{00000000-0010-0000-0000-000006000000}" name="Region"/>
    <tableColumn id="7" xr3:uid="{00000000-0010-0000-0000-000007000000}" name="State/Territory"/>
    <tableColumn id="8" xr3:uid="{00000000-0010-0000-0000-000008000000}" name="City"/>
    <tableColumn id="9" xr3:uid="{00000000-0010-0000-0000-000009000000}" name="Customer Segment"/>
    <tableColumn id="10" xr3:uid="{00000000-0010-0000-0000-00000A000000}" name="Customer ID"/>
    <tableColumn id="11" xr3:uid="{00000000-0010-0000-0000-00000B000000}" name="Category"/>
    <tableColumn id="12" xr3:uid="{00000000-0010-0000-0000-00000C000000}" name="Subcategory"/>
    <tableColumn id="13" xr3:uid="{00000000-0010-0000-0000-00000D000000}" name="Product"/>
    <tableColumn id="14" xr3:uid="{00000000-0010-0000-0000-00000E000000}" name="Sales Channel"/>
    <tableColumn id="15" xr3:uid="{00000000-0010-0000-0000-00000F000000}" name="Unit Price"/>
    <tableColumn id="16" xr3:uid="{00000000-0010-0000-0000-000010000000}" name="Quantity"/>
    <tableColumn id="17" xr3:uid="{00000000-0010-0000-0000-000011000000}" name="Discount"/>
    <tableColumn id="18" xr3:uid="{00000000-0010-0000-0000-000012000000}" name="Revenue"/>
    <tableColumn id="19" xr3:uid="{00000000-0010-0000-0000-000013000000}" name="Unit Cost"/>
    <tableColumn id="20" xr3:uid="{00000000-0010-0000-0000-000014000000}" name="Total Cost"/>
    <tableColumn id="21" xr3:uid="{00000000-0010-0000-0000-000015000000}" name="Profit"/>
    <tableColumn id="22" xr3:uid="{00000000-0010-0000-0000-000016000000}" name="Profit Margin"/>
    <tableColumn id="23" xr3:uid="{00000000-0010-0000-0000-000017000000}" name="Delivery Days"/>
    <tableColumn id="24" xr3:uid="{00000000-0010-0000-0000-000018000000}" name="Returned"/>
    <tableColumn id="25" xr3:uid="{00000000-0010-0000-0000-000019000000}" name="Satisfaction Scor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01"/>
  <sheetViews>
    <sheetView workbookViewId="0"/>
  </sheetViews>
  <sheetFormatPr defaultRowHeight="13.8"/>
  <cols>
    <col min="1" max="1" width="14.19921875" bestFit="1" customWidth="1"/>
    <col min="2" max="2" width="12.3984375" bestFit="1" customWidth="1"/>
    <col min="3" max="3" width="7" bestFit="1" customWidth="1"/>
    <col min="4" max="4" width="9.5" bestFit="1" customWidth="1"/>
    <col min="5" max="5" width="8.296875" bestFit="1" customWidth="1"/>
    <col min="6" max="6" width="9.09765625" bestFit="1" customWidth="1"/>
    <col min="7" max="7" width="15.59765625" bestFit="1" customWidth="1"/>
    <col min="8" max="8" width="9.3984375" bestFit="1" customWidth="1"/>
    <col min="9" max="9" width="13.19921875" bestFit="1" customWidth="1"/>
    <col min="10" max="10" width="13.796875" bestFit="1" customWidth="1"/>
    <col min="11" max="11" width="13.09765625" bestFit="1" customWidth="1"/>
    <col min="12" max="12" width="14" bestFit="1" customWidth="1"/>
    <col min="13" max="13" width="20.8984375" bestFit="1" customWidth="1"/>
    <col min="14" max="14" width="15.5" bestFit="1" customWidth="1"/>
    <col min="15" max="15" width="11.3984375" bestFit="1" customWidth="1"/>
    <col min="16" max="16" width="10.296875" bestFit="1" customWidth="1"/>
    <col min="17" max="17" width="10.59765625" bestFit="1" customWidth="1"/>
    <col min="18" max="18" width="10.796875" bestFit="1" customWidth="1"/>
    <col min="19" max="19" width="10.8984375" bestFit="1" customWidth="1"/>
    <col min="20" max="20" width="11.69921875" bestFit="1" customWidth="1"/>
    <col min="21" max="21" width="8.8984375" bestFit="1" customWidth="1"/>
    <col min="22" max="22" width="14" customWidth="1"/>
    <col min="23" max="23" width="15.296875" bestFit="1" customWidth="1"/>
    <col min="24" max="24" width="11" bestFit="1" customWidth="1"/>
    <col min="25" max="25" width="13.09765625" bestFit="1" customWidth="1"/>
  </cols>
  <sheetData>
    <row r="1" spans="1:25" ht="3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</row>
    <row r="2" spans="1:25">
      <c r="A2" t="s">
        <v>25</v>
      </c>
      <c r="B2" s="2">
        <v>44927</v>
      </c>
      <c r="C2">
        <v>2023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s="3">
        <v>184.08</v>
      </c>
      <c r="P2">
        <v>5</v>
      </c>
      <c r="Q2" s="4">
        <v>0</v>
      </c>
      <c r="R2" s="3">
        <v>920.40000000000009</v>
      </c>
      <c r="S2" s="3">
        <v>92.6</v>
      </c>
      <c r="T2" s="3">
        <v>463</v>
      </c>
      <c r="U2" s="3">
        <v>457.40000000000009</v>
      </c>
      <c r="V2" s="5">
        <v>0.49695784441547158</v>
      </c>
      <c r="W2">
        <v>5</v>
      </c>
      <c r="X2" t="s">
        <v>37</v>
      </c>
      <c r="Y2" s="6">
        <v>4</v>
      </c>
    </row>
    <row r="3" spans="1:25">
      <c r="A3" t="s">
        <v>38</v>
      </c>
      <c r="B3" s="2">
        <v>44927</v>
      </c>
      <c r="C3">
        <v>2023</v>
      </c>
      <c r="D3" t="s">
        <v>26</v>
      </c>
      <c r="E3" t="s">
        <v>27</v>
      </c>
      <c r="F3" t="s">
        <v>39</v>
      </c>
      <c r="G3" t="s">
        <v>40</v>
      </c>
      <c r="H3" t="s">
        <v>41</v>
      </c>
      <c r="I3" t="s">
        <v>42</v>
      </c>
      <c r="J3" t="s">
        <v>43</v>
      </c>
      <c r="K3" t="s">
        <v>33</v>
      </c>
      <c r="L3" t="s">
        <v>34</v>
      </c>
      <c r="M3" t="s">
        <v>35</v>
      </c>
      <c r="N3" t="s">
        <v>44</v>
      </c>
      <c r="O3" s="3">
        <v>185.76</v>
      </c>
      <c r="P3">
        <v>4</v>
      </c>
      <c r="Q3" s="4">
        <v>0</v>
      </c>
      <c r="R3" s="3">
        <v>743.04</v>
      </c>
      <c r="S3" s="3">
        <v>91.51</v>
      </c>
      <c r="T3" s="3">
        <v>366.04</v>
      </c>
      <c r="U3" s="3">
        <v>376.99999999999994</v>
      </c>
      <c r="V3" s="5">
        <v>0.50737510766580529</v>
      </c>
      <c r="W3">
        <v>7</v>
      </c>
      <c r="X3" t="s">
        <v>37</v>
      </c>
      <c r="Y3" s="6">
        <v>4</v>
      </c>
    </row>
    <row r="4" spans="1:25">
      <c r="A4" t="s">
        <v>45</v>
      </c>
      <c r="B4" s="2">
        <v>44928</v>
      </c>
      <c r="C4">
        <v>2023</v>
      </c>
      <c r="D4" t="s">
        <v>26</v>
      </c>
      <c r="E4" t="s">
        <v>27</v>
      </c>
      <c r="F4" t="s">
        <v>28</v>
      </c>
      <c r="G4" t="s">
        <v>29</v>
      </c>
      <c r="H4" t="s">
        <v>30</v>
      </c>
      <c r="I4" t="s">
        <v>42</v>
      </c>
      <c r="J4" t="s">
        <v>46</v>
      </c>
      <c r="K4" t="s">
        <v>47</v>
      </c>
      <c r="L4" t="s">
        <v>48</v>
      </c>
      <c r="M4" t="s">
        <v>49</v>
      </c>
      <c r="N4" t="s">
        <v>44</v>
      </c>
      <c r="O4" s="3">
        <v>31.51</v>
      </c>
      <c r="P4">
        <v>2</v>
      </c>
      <c r="Q4" s="4">
        <v>0.2</v>
      </c>
      <c r="R4" s="3">
        <v>50.416000000000004</v>
      </c>
      <c r="S4" s="3">
        <v>14.22</v>
      </c>
      <c r="T4" s="3">
        <v>28.44</v>
      </c>
      <c r="U4" s="3">
        <v>21.976000000000003</v>
      </c>
      <c r="V4" s="5">
        <v>0.43589336718502064</v>
      </c>
      <c r="W4">
        <v>5</v>
      </c>
      <c r="X4" t="s">
        <v>37</v>
      </c>
      <c r="Y4" s="6">
        <v>4</v>
      </c>
    </row>
    <row r="5" spans="1:25">
      <c r="A5" t="s">
        <v>50</v>
      </c>
      <c r="B5" s="2">
        <v>44930</v>
      </c>
      <c r="C5">
        <v>2023</v>
      </c>
      <c r="D5" t="s">
        <v>26</v>
      </c>
      <c r="E5" t="s">
        <v>27</v>
      </c>
      <c r="F5" t="s">
        <v>51</v>
      </c>
      <c r="G5" t="s">
        <v>52</v>
      </c>
      <c r="H5" t="s">
        <v>53</v>
      </c>
      <c r="I5" t="s">
        <v>31</v>
      </c>
      <c r="J5" t="s">
        <v>54</v>
      </c>
      <c r="K5" t="s">
        <v>47</v>
      </c>
      <c r="L5" t="s">
        <v>55</v>
      </c>
      <c r="M5" t="s">
        <v>56</v>
      </c>
      <c r="N5" t="s">
        <v>57</v>
      </c>
      <c r="O5" s="3">
        <v>39.909999999999997</v>
      </c>
      <c r="P5">
        <v>7</v>
      </c>
      <c r="Q5" s="4">
        <v>0.15</v>
      </c>
      <c r="R5" s="3">
        <v>237.46449999999999</v>
      </c>
      <c r="S5" s="3">
        <v>17.36</v>
      </c>
      <c r="T5" s="3">
        <v>121.52</v>
      </c>
      <c r="U5" s="3">
        <v>115.94449999999999</v>
      </c>
      <c r="V5" s="5">
        <v>0.48826035049449495</v>
      </c>
      <c r="W5">
        <v>1</v>
      </c>
      <c r="X5" t="s">
        <v>58</v>
      </c>
      <c r="Y5" s="6">
        <v>4</v>
      </c>
    </row>
    <row r="6" spans="1:25">
      <c r="A6" t="s">
        <v>59</v>
      </c>
      <c r="B6" s="2">
        <v>44931</v>
      </c>
      <c r="C6">
        <v>2023</v>
      </c>
      <c r="D6" t="s">
        <v>26</v>
      </c>
      <c r="E6" t="s">
        <v>27</v>
      </c>
      <c r="F6" t="s">
        <v>28</v>
      </c>
      <c r="G6" t="s">
        <v>29</v>
      </c>
      <c r="H6" t="s">
        <v>60</v>
      </c>
      <c r="I6" t="s">
        <v>42</v>
      </c>
      <c r="J6" t="s">
        <v>43</v>
      </c>
      <c r="K6" t="s">
        <v>61</v>
      </c>
      <c r="L6" t="s">
        <v>62</v>
      </c>
      <c r="M6" t="s">
        <v>63</v>
      </c>
      <c r="N6" t="s">
        <v>36</v>
      </c>
      <c r="O6" s="3">
        <v>86.86</v>
      </c>
      <c r="P6">
        <v>4</v>
      </c>
      <c r="Q6" s="4">
        <v>0</v>
      </c>
      <c r="R6" s="3">
        <v>347.44</v>
      </c>
      <c r="S6" s="3">
        <v>44.9</v>
      </c>
      <c r="T6" s="3">
        <v>179.6</v>
      </c>
      <c r="U6" s="3">
        <v>167.84</v>
      </c>
      <c r="V6" s="5">
        <v>0.48307621459820405</v>
      </c>
      <c r="W6">
        <v>7</v>
      </c>
      <c r="X6" t="s">
        <v>37</v>
      </c>
      <c r="Y6" s="6">
        <v>4</v>
      </c>
    </row>
    <row r="7" spans="1:25">
      <c r="A7" t="s">
        <v>64</v>
      </c>
      <c r="B7" s="2">
        <v>44932</v>
      </c>
      <c r="C7">
        <v>2023</v>
      </c>
      <c r="D7" t="s">
        <v>26</v>
      </c>
      <c r="E7" t="s">
        <v>27</v>
      </c>
      <c r="F7" t="s">
        <v>65</v>
      </c>
      <c r="G7" t="s">
        <v>66</v>
      </c>
      <c r="H7" t="s">
        <v>67</v>
      </c>
      <c r="I7" t="s">
        <v>31</v>
      </c>
      <c r="J7" t="s">
        <v>68</v>
      </c>
      <c r="K7" t="s">
        <v>47</v>
      </c>
      <c r="L7" t="s">
        <v>55</v>
      </c>
      <c r="M7" t="s">
        <v>69</v>
      </c>
      <c r="N7" t="s">
        <v>44</v>
      </c>
      <c r="O7" s="3">
        <v>45.42</v>
      </c>
      <c r="P7">
        <v>7</v>
      </c>
      <c r="Q7" s="4">
        <v>0</v>
      </c>
      <c r="R7" s="3">
        <v>317.94</v>
      </c>
      <c r="S7" s="3">
        <v>21.65</v>
      </c>
      <c r="T7" s="3">
        <v>151.54999999999998</v>
      </c>
      <c r="U7" s="3">
        <v>166.39000000000001</v>
      </c>
      <c r="V7" s="5">
        <v>0.52333773667987671</v>
      </c>
      <c r="W7">
        <v>3</v>
      </c>
      <c r="X7" t="s">
        <v>37</v>
      </c>
      <c r="Y7" s="6">
        <v>5</v>
      </c>
    </row>
    <row r="8" spans="1:25">
      <c r="A8" t="s">
        <v>70</v>
      </c>
      <c r="B8" s="2">
        <v>44932</v>
      </c>
      <c r="C8">
        <v>2023</v>
      </c>
      <c r="D8" t="s">
        <v>26</v>
      </c>
      <c r="E8" t="s">
        <v>27</v>
      </c>
      <c r="F8" t="s">
        <v>28</v>
      </c>
      <c r="G8" t="s">
        <v>29</v>
      </c>
      <c r="H8" t="s">
        <v>60</v>
      </c>
      <c r="I8" t="s">
        <v>71</v>
      </c>
      <c r="J8" t="s">
        <v>72</v>
      </c>
      <c r="K8" t="s">
        <v>33</v>
      </c>
      <c r="L8" t="s">
        <v>73</v>
      </c>
      <c r="M8" t="s">
        <v>74</v>
      </c>
      <c r="N8" t="s">
        <v>57</v>
      </c>
      <c r="O8" s="3">
        <v>664.48</v>
      </c>
      <c r="P8">
        <v>4</v>
      </c>
      <c r="Q8" s="4">
        <v>0</v>
      </c>
      <c r="R8" s="3">
        <v>2657.92</v>
      </c>
      <c r="S8" s="3">
        <v>415.27</v>
      </c>
      <c r="T8" s="3">
        <v>1661.08</v>
      </c>
      <c r="U8" s="3">
        <v>996.84000000000015</v>
      </c>
      <c r="V8" s="5">
        <v>0.3750451480857212</v>
      </c>
      <c r="W8">
        <v>6</v>
      </c>
      <c r="X8" t="s">
        <v>37</v>
      </c>
      <c r="Y8" s="6">
        <v>4</v>
      </c>
    </row>
    <row r="9" spans="1:25">
      <c r="A9" t="s">
        <v>75</v>
      </c>
      <c r="B9" s="2">
        <v>44933</v>
      </c>
      <c r="C9">
        <v>2023</v>
      </c>
      <c r="D9" t="s">
        <v>26</v>
      </c>
      <c r="E9" t="s">
        <v>27</v>
      </c>
      <c r="F9" t="s">
        <v>65</v>
      </c>
      <c r="G9" t="s">
        <v>76</v>
      </c>
      <c r="H9" t="s">
        <v>77</v>
      </c>
      <c r="I9" t="s">
        <v>78</v>
      </c>
      <c r="J9" t="s">
        <v>79</v>
      </c>
      <c r="K9" t="s">
        <v>61</v>
      </c>
      <c r="L9" t="s">
        <v>80</v>
      </c>
      <c r="M9" t="s">
        <v>81</v>
      </c>
      <c r="N9" t="s">
        <v>36</v>
      </c>
      <c r="O9" s="3">
        <v>1016.38</v>
      </c>
      <c r="P9">
        <v>4</v>
      </c>
      <c r="Q9" s="4">
        <v>0</v>
      </c>
      <c r="R9" s="3">
        <v>4065.52</v>
      </c>
      <c r="S9" s="3">
        <v>653.86</v>
      </c>
      <c r="T9" s="3">
        <v>2615.44</v>
      </c>
      <c r="U9" s="3">
        <v>1450.08</v>
      </c>
      <c r="V9" s="5">
        <v>0.35667762057498176</v>
      </c>
      <c r="W9">
        <v>7</v>
      </c>
      <c r="X9" t="s">
        <v>37</v>
      </c>
      <c r="Y9" s="6">
        <v>4</v>
      </c>
    </row>
    <row r="10" spans="1:25">
      <c r="A10" t="s">
        <v>82</v>
      </c>
      <c r="B10" s="2">
        <v>44934</v>
      </c>
      <c r="C10">
        <v>2023</v>
      </c>
      <c r="D10" t="s">
        <v>26</v>
      </c>
      <c r="E10" t="s">
        <v>27</v>
      </c>
      <c r="F10" t="s">
        <v>51</v>
      </c>
      <c r="G10" t="s">
        <v>52</v>
      </c>
      <c r="H10" t="s">
        <v>53</v>
      </c>
      <c r="I10" t="s">
        <v>78</v>
      </c>
      <c r="J10" t="s">
        <v>83</v>
      </c>
      <c r="K10" t="s">
        <v>61</v>
      </c>
      <c r="L10" t="s">
        <v>84</v>
      </c>
      <c r="M10" t="s">
        <v>85</v>
      </c>
      <c r="N10" t="s">
        <v>36</v>
      </c>
      <c r="O10" s="3">
        <v>148</v>
      </c>
      <c r="P10">
        <v>1</v>
      </c>
      <c r="Q10" s="4">
        <v>0</v>
      </c>
      <c r="R10" s="3">
        <v>148</v>
      </c>
      <c r="S10" s="3">
        <v>70.59</v>
      </c>
      <c r="T10" s="3">
        <v>70.59</v>
      </c>
      <c r="U10" s="3">
        <v>77.41</v>
      </c>
      <c r="V10" s="5">
        <v>0.5230405405405405</v>
      </c>
      <c r="W10">
        <v>2</v>
      </c>
      <c r="X10" t="s">
        <v>37</v>
      </c>
      <c r="Y10" s="6">
        <v>5</v>
      </c>
    </row>
    <row r="11" spans="1:25">
      <c r="A11" t="s">
        <v>86</v>
      </c>
      <c r="B11" s="2">
        <v>44935</v>
      </c>
      <c r="C11">
        <v>2023</v>
      </c>
      <c r="D11" t="s">
        <v>26</v>
      </c>
      <c r="E11" t="s">
        <v>27</v>
      </c>
      <c r="F11" t="s">
        <v>28</v>
      </c>
      <c r="G11" t="s">
        <v>29</v>
      </c>
      <c r="H11" t="s">
        <v>60</v>
      </c>
      <c r="I11" t="s">
        <v>78</v>
      </c>
      <c r="J11" t="s">
        <v>87</v>
      </c>
      <c r="K11" t="s">
        <v>33</v>
      </c>
      <c r="L11" t="s">
        <v>88</v>
      </c>
      <c r="M11" t="s">
        <v>89</v>
      </c>
      <c r="N11" t="s">
        <v>36</v>
      </c>
      <c r="O11" s="3">
        <v>244.74</v>
      </c>
      <c r="P11">
        <v>1</v>
      </c>
      <c r="Q11" s="4">
        <v>0.15</v>
      </c>
      <c r="R11" s="3">
        <v>208.029</v>
      </c>
      <c r="S11" s="3">
        <v>126.59</v>
      </c>
      <c r="T11" s="3">
        <v>126.59</v>
      </c>
      <c r="U11" s="3">
        <v>81.438999999999993</v>
      </c>
      <c r="V11" s="5">
        <v>0.39147907262929688</v>
      </c>
      <c r="W11">
        <v>2</v>
      </c>
      <c r="X11" t="s">
        <v>37</v>
      </c>
      <c r="Y11" s="6">
        <v>5</v>
      </c>
    </row>
    <row r="12" spans="1:25">
      <c r="A12" t="s">
        <v>90</v>
      </c>
      <c r="B12" s="2">
        <v>44939</v>
      </c>
      <c r="C12">
        <v>2023</v>
      </c>
      <c r="D12" t="s">
        <v>26</v>
      </c>
      <c r="E12" t="s">
        <v>27</v>
      </c>
      <c r="F12" t="s">
        <v>39</v>
      </c>
      <c r="G12" t="s">
        <v>91</v>
      </c>
      <c r="H12" t="s">
        <v>92</v>
      </c>
      <c r="I12" t="s">
        <v>78</v>
      </c>
      <c r="J12" t="s">
        <v>93</v>
      </c>
      <c r="K12" t="s">
        <v>47</v>
      </c>
      <c r="L12" t="s">
        <v>55</v>
      </c>
      <c r="M12" t="s">
        <v>56</v>
      </c>
      <c r="N12" t="s">
        <v>36</v>
      </c>
      <c r="O12" s="3">
        <v>40.61</v>
      </c>
      <c r="P12">
        <v>12</v>
      </c>
      <c r="Q12" s="4">
        <v>0</v>
      </c>
      <c r="R12" s="3">
        <v>487.32</v>
      </c>
      <c r="S12" s="3">
        <v>17.170000000000002</v>
      </c>
      <c r="T12" s="3">
        <v>206.04000000000002</v>
      </c>
      <c r="U12" s="3">
        <v>281.27999999999997</v>
      </c>
      <c r="V12" s="5">
        <v>0.57719773454814083</v>
      </c>
      <c r="W12">
        <v>5</v>
      </c>
      <c r="X12" t="s">
        <v>37</v>
      </c>
      <c r="Y12" s="6">
        <v>4</v>
      </c>
    </row>
    <row r="13" spans="1:25">
      <c r="A13" t="s">
        <v>94</v>
      </c>
      <c r="B13" s="2">
        <v>44939</v>
      </c>
      <c r="C13">
        <v>2023</v>
      </c>
      <c r="D13" t="s">
        <v>26</v>
      </c>
      <c r="E13" t="s">
        <v>27</v>
      </c>
      <c r="F13" t="s">
        <v>28</v>
      </c>
      <c r="G13" t="s">
        <v>29</v>
      </c>
      <c r="H13" t="s">
        <v>60</v>
      </c>
      <c r="I13" t="s">
        <v>71</v>
      </c>
      <c r="J13" t="s">
        <v>95</v>
      </c>
      <c r="K13" t="s">
        <v>33</v>
      </c>
      <c r="L13" t="s">
        <v>88</v>
      </c>
      <c r="M13" t="s">
        <v>89</v>
      </c>
      <c r="N13" t="s">
        <v>36</v>
      </c>
      <c r="O13" s="3">
        <v>256.31</v>
      </c>
      <c r="P13">
        <v>4</v>
      </c>
      <c r="Q13" s="4">
        <v>0</v>
      </c>
      <c r="R13" s="3">
        <v>1025.24</v>
      </c>
      <c r="S13" s="3">
        <v>130.41999999999999</v>
      </c>
      <c r="T13" s="3">
        <v>521.67999999999995</v>
      </c>
      <c r="U13" s="3">
        <v>503.56000000000006</v>
      </c>
      <c r="V13" s="5">
        <v>0.49116304475049749</v>
      </c>
      <c r="W13">
        <v>5</v>
      </c>
      <c r="X13" t="s">
        <v>37</v>
      </c>
      <c r="Y13" s="6">
        <v>4</v>
      </c>
    </row>
    <row r="14" spans="1:25">
      <c r="A14" t="s">
        <v>96</v>
      </c>
      <c r="B14" s="2">
        <v>44940</v>
      </c>
      <c r="C14">
        <v>2023</v>
      </c>
      <c r="D14" t="s">
        <v>26</v>
      </c>
      <c r="E14" t="s">
        <v>27</v>
      </c>
      <c r="F14" t="s">
        <v>51</v>
      </c>
      <c r="G14" t="s">
        <v>97</v>
      </c>
      <c r="H14" t="s">
        <v>98</v>
      </c>
      <c r="I14" t="s">
        <v>31</v>
      </c>
      <c r="J14" t="s">
        <v>99</v>
      </c>
      <c r="K14" t="s">
        <v>33</v>
      </c>
      <c r="L14" t="s">
        <v>88</v>
      </c>
      <c r="M14" t="s">
        <v>100</v>
      </c>
      <c r="N14" t="s">
        <v>44</v>
      </c>
      <c r="O14" s="3">
        <v>303.2</v>
      </c>
      <c r="P14">
        <v>1</v>
      </c>
      <c r="Q14" s="4">
        <v>0.15</v>
      </c>
      <c r="R14" s="3">
        <v>257.71999999999997</v>
      </c>
      <c r="S14" s="3">
        <v>153.74</v>
      </c>
      <c r="T14" s="3">
        <v>153.74</v>
      </c>
      <c r="U14" s="3">
        <v>103.97999999999996</v>
      </c>
      <c r="V14" s="5">
        <v>0.40346112059599554</v>
      </c>
      <c r="W14">
        <v>9</v>
      </c>
      <c r="X14" t="s">
        <v>37</v>
      </c>
      <c r="Y14" s="6">
        <v>4</v>
      </c>
    </row>
    <row r="15" spans="1:25">
      <c r="A15" t="s">
        <v>101</v>
      </c>
      <c r="B15" s="2">
        <v>44941</v>
      </c>
      <c r="C15">
        <v>2023</v>
      </c>
      <c r="D15" t="s">
        <v>26</v>
      </c>
      <c r="E15" t="s">
        <v>27</v>
      </c>
      <c r="F15" t="s">
        <v>51</v>
      </c>
      <c r="G15" t="s">
        <v>52</v>
      </c>
      <c r="H15" t="s">
        <v>102</v>
      </c>
      <c r="I15" t="s">
        <v>71</v>
      </c>
      <c r="J15" t="s">
        <v>103</v>
      </c>
      <c r="K15" t="s">
        <v>47</v>
      </c>
      <c r="L15" t="s">
        <v>48</v>
      </c>
      <c r="M15" t="s">
        <v>104</v>
      </c>
      <c r="N15" t="s">
        <v>44</v>
      </c>
      <c r="O15" s="3">
        <v>51.45</v>
      </c>
      <c r="P15">
        <v>9</v>
      </c>
      <c r="Q15" s="4">
        <v>0.2</v>
      </c>
      <c r="R15" s="3">
        <v>370.44000000000005</v>
      </c>
      <c r="S15" s="3">
        <v>31.18</v>
      </c>
      <c r="T15" s="3">
        <v>280.62</v>
      </c>
      <c r="U15" s="3">
        <v>89.82000000000005</v>
      </c>
      <c r="V15" s="5">
        <v>0.2424684159378038</v>
      </c>
      <c r="W15">
        <v>2</v>
      </c>
      <c r="X15" t="s">
        <v>37</v>
      </c>
      <c r="Y15" s="6">
        <v>5</v>
      </c>
    </row>
    <row r="16" spans="1:25">
      <c r="A16" t="s">
        <v>105</v>
      </c>
      <c r="B16" s="2">
        <v>44942</v>
      </c>
      <c r="C16">
        <v>2023</v>
      </c>
      <c r="D16" t="s">
        <v>26</v>
      </c>
      <c r="E16" t="s">
        <v>27</v>
      </c>
      <c r="F16" t="s">
        <v>28</v>
      </c>
      <c r="G16" t="s">
        <v>29</v>
      </c>
      <c r="H16" t="s">
        <v>106</v>
      </c>
      <c r="I16" t="s">
        <v>71</v>
      </c>
      <c r="J16" t="s">
        <v>107</v>
      </c>
      <c r="K16" t="s">
        <v>61</v>
      </c>
      <c r="L16" t="s">
        <v>84</v>
      </c>
      <c r="M16" t="s">
        <v>85</v>
      </c>
      <c r="N16" t="s">
        <v>44</v>
      </c>
      <c r="O16" s="3">
        <v>147.13</v>
      </c>
      <c r="P16">
        <v>4</v>
      </c>
      <c r="Q16" s="4">
        <v>0</v>
      </c>
      <c r="R16" s="3">
        <v>588.52</v>
      </c>
      <c r="S16" s="3">
        <v>71.52</v>
      </c>
      <c r="T16" s="3">
        <v>286.08</v>
      </c>
      <c r="U16" s="3">
        <v>302.44</v>
      </c>
      <c r="V16" s="5">
        <v>0.5138992727519881</v>
      </c>
      <c r="W16">
        <v>3</v>
      </c>
      <c r="X16" t="s">
        <v>37</v>
      </c>
      <c r="Y16" s="6">
        <v>5</v>
      </c>
    </row>
    <row r="17" spans="1:25">
      <c r="A17" t="s">
        <v>108</v>
      </c>
      <c r="B17" s="2">
        <v>44943</v>
      </c>
      <c r="C17">
        <v>2023</v>
      </c>
      <c r="D17" t="s">
        <v>26</v>
      </c>
      <c r="E17" t="s">
        <v>27</v>
      </c>
      <c r="F17" t="s">
        <v>39</v>
      </c>
      <c r="G17" t="s">
        <v>91</v>
      </c>
      <c r="H17" t="s">
        <v>92</v>
      </c>
      <c r="I17" t="s">
        <v>78</v>
      </c>
      <c r="J17" t="s">
        <v>109</v>
      </c>
      <c r="K17" t="s">
        <v>33</v>
      </c>
      <c r="L17" t="s">
        <v>88</v>
      </c>
      <c r="M17" t="s">
        <v>100</v>
      </c>
      <c r="N17" t="s">
        <v>57</v>
      </c>
      <c r="O17" s="3">
        <v>306.45</v>
      </c>
      <c r="P17">
        <v>1</v>
      </c>
      <c r="Q17" s="4">
        <v>0.2</v>
      </c>
      <c r="R17" s="3">
        <v>245.16</v>
      </c>
      <c r="S17" s="3">
        <v>157.72</v>
      </c>
      <c r="T17" s="3">
        <v>157.72</v>
      </c>
      <c r="U17" s="3">
        <v>87.44</v>
      </c>
      <c r="V17" s="5">
        <v>0.356665035079132</v>
      </c>
      <c r="W17">
        <v>4</v>
      </c>
      <c r="X17" t="s">
        <v>37</v>
      </c>
      <c r="Y17" s="6">
        <v>4</v>
      </c>
    </row>
    <row r="18" spans="1:25">
      <c r="A18" t="s">
        <v>110</v>
      </c>
      <c r="B18" s="2">
        <v>44948</v>
      </c>
      <c r="C18">
        <v>2023</v>
      </c>
      <c r="D18" t="s">
        <v>26</v>
      </c>
      <c r="E18" t="s">
        <v>27</v>
      </c>
      <c r="F18" t="s">
        <v>39</v>
      </c>
      <c r="G18" t="s">
        <v>111</v>
      </c>
      <c r="H18" t="s">
        <v>112</v>
      </c>
      <c r="I18" t="s">
        <v>31</v>
      </c>
      <c r="J18" t="s">
        <v>113</v>
      </c>
      <c r="K18" t="s">
        <v>47</v>
      </c>
      <c r="L18" t="s">
        <v>114</v>
      </c>
      <c r="M18" t="s">
        <v>115</v>
      </c>
      <c r="N18" t="s">
        <v>36</v>
      </c>
      <c r="O18" s="3">
        <v>18.25</v>
      </c>
      <c r="P18">
        <v>10</v>
      </c>
      <c r="Q18" s="4">
        <v>0</v>
      </c>
      <c r="R18" s="3">
        <v>182.5</v>
      </c>
      <c r="S18" s="3">
        <v>6.98</v>
      </c>
      <c r="T18" s="3">
        <v>69.800000000000011</v>
      </c>
      <c r="U18" s="3">
        <v>112.69999999999999</v>
      </c>
      <c r="V18" s="5">
        <v>0.61753424657534239</v>
      </c>
      <c r="W18">
        <v>6</v>
      </c>
      <c r="X18" t="s">
        <v>37</v>
      </c>
      <c r="Y18" s="6">
        <v>4</v>
      </c>
    </row>
    <row r="19" spans="1:25">
      <c r="A19" t="s">
        <v>116</v>
      </c>
      <c r="B19" s="2">
        <v>44949</v>
      </c>
      <c r="C19">
        <v>2023</v>
      </c>
      <c r="D19" t="s">
        <v>26</v>
      </c>
      <c r="E19" t="s">
        <v>27</v>
      </c>
      <c r="F19" t="s">
        <v>39</v>
      </c>
      <c r="G19" t="s">
        <v>111</v>
      </c>
      <c r="H19" t="s">
        <v>112</v>
      </c>
      <c r="I19" t="s">
        <v>71</v>
      </c>
      <c r="J19" t="s">
        <v>117</v>
      </c>
      <c r="K19" t="s">
        <v>47</v>
      </c>
      <c r="L19" t="s">
        <v>114</v>
      </c>
      <c r="M19" t="s">
        <v>115</v>
      </c>
      <c r="N19" t="s">
        <v>44</v>
      </c>
      <c r="O19" s="3">
        <v>18.18</v>
      </c>
      <c r="P19">
        <v>10</v>
      </c>
      <c r="Q19" s="4">
        <v>0</v>
      </c>
      <c r="R19" s="3">
        <v>181.8</v>
      </c>
      <c r="S19" s="3">
        <v>6.82</v>
      </c>
      <c r="T19" s="3">
        <v>68.2</v>
      </c>
      <c r="U19" s="3">
        <v>113.60000000000001</v>
      </c>
      <c r="V19" s="5">
        <v>0.62486248624862484</v>
      </c>
      <c r="W19">
        <v>1</v>
      </c>
      <c r="X19" t="s">
        <v>37</v>
      </c>
      <c r="Y19" s="6">
        <v>5</v>
      </c>
    </row>
    <row r="20" spans="1:25">
      <c r="A20" t="s">
        <v>118</v>
      </c>
      <c r="B20" s="2">
        <v>44949</v>
      </c>
      <c r="C20">
        <v>2023</v>
      </c>
      <c r="D20" t="s">
        <v>26</v>
      </c>
      <c r="E20" t="s">
        <v>27</v>
      </c>
      <c r="F20" t="s">
        <v>51</v>
      </c>
      <c r="G20" t="s">
        <v>52</v>
      </c>
      <c r="H20" t="s">
        <v>53</v>
      </c>
      <c r="I20" t="s">
        <v>78</v>
      </c>
      <c r="J20" t="s">
        <v>119</v>
      </c>
      <c r="K20" t="s">
        <v>47</v>
      </c>
      <c r="L20" t="s">
        <v>114</v>
      </c>
      <c r="M20" t="s">
        <v>120</v>
      </c>
      <c r="N20" t="s">
        <v>36</v>
      </c>
      <c r="O20" s="3">
        <v>25.8</v>
      </c>
      <c r="P20">
        <v>4</v>
      </c>
      <c r="Q20" s="4">
        <v>0</v>
      </c>
      <c r="R20" s="3">
        <v>103.2</v>
      </c>
      <c r="S20" s="3">
        <v>10.71</v>
      </c>
      <c r="T20" s="3">
        <v>42.84</v>
      </c>
      <c r="U20" s="3">
        <v>60.36</v>
      </c>
      <c r="V20" s="5">
        <v>0.58488372093023255</v>
      </c>
      <c r="W20">
        <v>8</v>
      </c>
      <c r="X20" t="s">
        <v>37</v>
      </c>
      <c r="Y20" s="6">
        <v>3</v>
      </c>
    </row>
    <row r="21" spans="1:25">
      <c r="A21" t="s">
        <v>121</v>
      </c>
      <c r="B21" s="2">
        <v>44950</v>
      </c>
      <c r="C21">
        <v>2023</v>
      </c>
      <c r="D21" t="s">
        <v>26</v>
      </c>
      <c r="E21" t="s">
        <v>27</v>
      </c>
      <c r="F21" t="s">
        <v>51</v>
      </c>
      <c r="G21" t="s">
        <v>97</v>
      </c>
      <c r="H21" t="s">
        <v>98</v>
      </c>
      <c r="I21" t="s">
        <v>78</v>
      </c>
      <c r="J21" t="s">
        <v>122</v>
      </c>
      <c r="K21" t="s">
        <v>61</v>
      </c>
      <c r="L21" t="s">
        <v>62</v>
      </c>
      <c r="M21" t="s">
        <v>63</v>
      </c>
      <c r="N21" t="s">
        <v>57</v>
      </c>
      <c r="O21" s="3">
        <v>84.74</v>
      </c>
      <c r="P21">
        <v>3</v>
      </c>
      <c r="Q21" s="4">
        <v>0.05</v>
      </c>
      <c r="R21" s="3">
        <v>241.50899999999996</v>
      </c>
      <c r="S21" s="3">
        <v>44.58</v>
      </c>
      <c r="T21" s="3">
        <v>133.74</v>
      </c>
      <c r="U21" s="3">
        <v>107.76899999999995</v>
      </c>
      <c r="V21" s="5">
        <v>0.44623181744779683</v>
      </c>
      <c r="W21">
        <v>5</v>
      </c>
      <c r="X21" t="s">
        <v>37</v>
      </c>
      <c r="Y21" s="6">
        <v>5</v>
      </c>
    </row>
    <row r="22" spans="1:25">
      <c r="A22" t="s">
        <v>123</v>
      </c>
      <c r="B22" s="2">
        <v>44953</v>
      </c>
      <c r="C22">
        <v>2023</v>
      </c>
      <c r="D22" t="s">
        <v>26</v>
      </c>
      <c r="E22" t="s">
        <v>27</v>
      </c>
      <c r="F22" t="s">
        <v>28</v>
      </c>
      <c r="G22" t="s">
        <v>29</v>
      </c>
      <c r="H22" t="s">
        <v>60</v>
      </c>
      <c r="I22" t="s">
        <v>78</v>
      </c>
      <c r="J22" t="s">
        <v>124</v>
      </c>
      <c r="K22" t="s">
        <v>47</v>
      </c>
      <c r="L22" t="s">
        <v>55</v>
      </c>
      <c r="M22" t="s">
        <v>69</v>
      </c>
      <c r="N22" t="s">
        <v>57</v>
      </c>
      <c r="O22" s="3">
        <v>46.15</v>
      </c>
      <c r="P22">
        <v>10</v>
      </c>
      <c r="Q22" s="4">
        <v>0.1</v>
      </c>
      <c r="R22" s="3">
        <v>415.35</v>
      </c>
      <c r="S22" s="3">
        <v>21.99</v>
      </c>
      <c r="T22" s="3">
        <v>219.89999999999998</v>
      </c>
      <c r="U22" s="3">
        <v>195.45000000000005</v>
      </c>
      <c r="V22" s="5">
        <v>0.47056699169375232</v>
      </c>
      <c r="W22">
        <v>4</v>
      </c>
      <c r="X22" t="s">
        <v>37</v>
      </c>
      <c r="Y22" s="6">
        <v>4</v>
      </c>
    </row>
    <row r="23" spans="1:25">
      <c r="A23" t="s">
        <v>125</v>
      </c>
      <c r="B23" s="2">
        <v>44953</v>
      </c>
      <c r="C23">
        <v>2023</v>
      </c>
      <c r="D23" t="s">
        <v>26</v>
      </c>
      <c r="E23" t="s">
        <v>27</v>
      </c>
      <c r="F23" t="s">
        <v>65</v>
      </c>
      <c r="G23" t="s">
        <v>76</v>
      </c>
      <c r="H23" t="s">
        <v>126</v>
      </c>
      <c r="I23" t="s">
        <v>42</v>
      </c>
      <c r="J23" t="s">
        <v>127</v>
      </c>
      <c r="K23" t="s">
        <v>33</v>
      </c>
      <c r="L23" t="s">
        <v>88</v>
      </c>
      <c r="M23" t="s">
        <v>100</v>
      </c>
      <c r="N23" t="s">
        <v>57</v>
      </c>
      <c r="O23" s="3">
        <v>294.10000000000002</v>
      </c>
      <c r="P23">
        <v>3</v>
      </c>
      <c r="Q23" s="4">
        <v>0</v>
      </c>
      <c r="R23" s="3">
        <v>882.30000000000007</v>
      </c>
      <c r="S23" s="3">
        <v>152.4</v>
      </c>
      <c r="T23" s="3">
        <v>457.20000000000005</v>
      </c>
      <c r="U23" s="3">
        <v>425.1</v>
      </c>
      <c r="V23" s="5">
        <v>0.48180890853451208</v>
      </c>
      <c r="W23">
        <v>7</v>
      </c>
      <c r="X23" t="s">
        <v>37</v>
      </c>
      <c r="Y23" s="6">
        <v>4</v>
      </c>
    </row>
    <row r="24" spans="1:25">
      <c r="A24" t="s">
        <v>128</v>
      </c>
      <c r="B24" s="2">
        <v>44953</v>
      </c>
      <c r="C24">
        <v>2023</v>
      </c>
      <c r="D24" t="s">
        <v>26</v>
      </c>
      <c r="E24" t="s">
        <v>27</v>
      </c>
      <c r="F24" t="s">
        <v>65</v>
      </c>
      <c r="G24" t="s">
        <v>66</v>
      </c>
      <c r="H24" t="s">
        <v>67</v>
      </c>
      <c r="I24" t="s">
        <v>78</v>
      </c>
      <c r="J24" t="s">
        <v>129</v>
      </c>
      <c r="K24" t="s">
        <v>61</v>
      </c>
      <c r="L24" t="s">
        <v>84</v>
      </c>
      <c r="M24" t="s">
        <v>85</v>
      </c>
      <c r="N24" t="s">
        <v>44</v>
      </c>
      <c r="O24" s="3">
        <v>142.93</v>
      </c>
      <c r="P24">
        <v>5</v>
      </c>
      <c r="Q24" s="4">
        <v>0</v>
      </c>
      <c r="R24" s="3">
        <v>714.65000000000009</v>
      </c>
      <c r="S24" s="3">
        <v>70.05</v>
      </c>
      <c r="T24" s="3">
        <v>350.25</v>
      </c>
      <c r="U24" s="3">
        <v>364.40000000000009</v>
      </c>
      <c r="V24" s="5">
        <v>0.50989995102497732</v>
      </c>
      <c r="W24">
        <v>6</v>
      </c>
      <c r="X24" t="s">
        <v>58</v>
      </c>
      <c r="Y24" s="6">
        <v>3</v>
      </c>
    </row>
    <row r="25" spans="1:25">
      <c r="A25" t="s">
        <v>130</v>
      </c>
      <c r="B25" s="2">
        <v>44958</v>
      </c>
      <c r="C25">
        <v>2023</v>
      </c>
      <c r="D25" t="s">
        <v>26</v>
      </c>
      <c r="E25" t="s">
        <v>131</v>
      </c>
      <c r="F25" t="s">
        <v>39</v>
      </c>
      <c r="G25" t="s">
        <v>91</v>
      </c>
      <c r="H25" t="s">
        <v>92</v>
      </c>
      <c r="I25" t="s">
        <v>42</v>
      </c>
      <c r="J25" t="s">
        <v>132</v>
      </c>
      <c r="K25" t="s">
        <v>33</v>
      </c>
      <c r="L25" t="s">
        <v>34</v>
      </c>
      <c r="M25" t="s">
        <v>35</v>
      </c>
      <c r="N25" t="s">
        <v>57</v>
      </c>
      <c r="O25" s="3">
        <v>183.11</v>
      </c>
      <c r="P25">
        <v>2</v>
      </c>
      <c r="Q25" s="4">
        <v>0.1</v>
      </c>
      <c r="R25" s="3">
        <v>329.59800000000001</v>
      </c>
      <c r="S25" s="3">
        <v>94.33</v>
      </c>
      <c r="T25" s="3">
        <v>188.66</v>
      </c>
      <c r="U25" s="3">
        <v>140.93800000000002</v>
      </c>
      <c r="V25" s="5">
        <v>0.42760575003489104</v>
      </c>
      <c r="W25">
        <v>6</v>
      </c>
      <c r="X25" t="s">
        <v>37</v>
      </c>
      <c r="Y25" s="6">
        <v>4</v>
      </c>
    </row>
    <row r="26" spans="1:25">
      <c r="A26" t="s">
        <v>133</v>
      </c>
      <c r="B26" s="2">
        <v>44960</v>
      </c>
      <c r="C26">
        <v>2023</v>
      </c>
      <c r="D26" t="s">
        <v>26</v>
      </c>
      <c r="E26" t="s">
        <v>131</v>
      </c>
      <c r="F26" t="s">
        <v>51</v>
      </c>
      <c r="G26" t="s">
        <v>52</v>
      </c>
      <c r="H26" t="s">
        <v>102</v>
      </c>
      <c r="I26" t="s">
        <v>71</v>
      </c>
      <c r="J26" t="s">
        <v>134</v>
      </c>
      <c r="K26" t="s">
        <v>61</v>
      </c>
      <c r="L26" t="s">
        <v>84</v>
      </c>
      <c r="M26" t="s">
        <v>135</v>
      </c>
      <c r="N26" t="s">
        <v>36</v>
      </c>
      <c r="O26" s="3">
        <v>893.31</v>
      </c>
      <c r="P26">
        <v>5</v>
      </c>
      <c r="Q26" s="4">
        <v>0.1</v>
      </c>
      <c r="R26" s="3">
        <v>4019.8949999999995</v>
      </c>
      <c r="S26" s="3">
        <v>570.75</v>
      </c>
      <c r="T26" s="3">
        <v>2853.75</v>
      </c>
      <c r="U26" s="3">
        <v>1166.1449999999995</v>
      </c>
      <c r="V26" s="5">
        <v>0.29009339796188699</v>
      </c>
      <c r="W26">
        <v>10</v>
      </c>
      <c r="X26" t="s">
        <v>37</v>
      </c>
      <c r="Y26" s="6">
        <v>3</v>
      </c>
    </row>
    <row r="27" spans="1:25">
      <c r="A27" t="s">
        <v>136</v>
      </c>
      <c r="B27" s="2">
        <v>44961</v>
      </c>
      <c r="C27">
        <v>2023</v>
      </c>
      <c r="D27" t="s">
        <v>26</v>
      </c>
      <c r="E27" t="s">
        <v>131</v>
      </c>
      <c r="F27" t="s">
        <v>28</v>
      </c>
      <c r="G27" t="s">
        <v>29</v>
      </c>
      <c r="H27" t="s">
        <v>30</v>
      </c>
      <c r="I27" t="s">
        <v>31</v>
      </c>
      <c r="J27" t="s">
        <v>137</v>
      </c>
      <c r="K27" t="s">
        <v>33</v>
      </c>
      <c r="L27" t="s">
        <v>73</v>
      </c>
      <c r="M27" t="s">
        <v>138</v>
      </c>
      <c r="N27" t="s">
        <v>44</v>
      </c>
      <c r="O27" s="3">
        <v>333.9</v>
      </c>
      <c r="P27">
        <v>5</v>
      </c>
      <c r="Q27" s="4">
        <v>0</v>
      </c>
      <c r="R27" s="3">
        <v>1669.5</v>
      </c>
      <c r="S27" s="3">
        <v>181.98</v>
      </c>
      <c r="T27" s="3">
        <v>909.9</v>
      </c>
      <c r="U27" s="3">
        <v>759.6</v>
      </c>
      <c r="V27" s="5">
        <v>0.45498652291105124</v>
      </c>
      <c r="W27">
        <v>3</v>
      </c>
      <c r="X27" t="s">
        <v>37</v>
      </c>
      <c r="Y27" s="6">
        <v>4</v>
      </c>
    </row>
    <row r="28" spans="1:25">
      <c r="A28" t="s">
        <v>139</v>
      </c>
      <c r="B28" s="2">
        <v>44963</v>
      </c>
      <c r="C28">
        <v>2023</v>
      </c>
      <c r="D28" t="s">
        <v>26</v>
      </c>
      <c r="E28" t="s">
        <v>131</v>
      </c>
      <c r="F28" t="s">
        <v>28</v>
      </c>
      <c r="G28" t="s">
        <v>29</v>
      </c>
      <c r="H28" t="s">
        <v>30</v>
      </c>
      <c r="I28" t="s">
        <v>71</v>
      </c>
      <c r="J28" t="s">
        <v>140</v>
      </c>
      <c r="K28" t="s">
        <v>61</v>
      </c>
      <c r="L28" t="s">
        <v>84</v>
      </c>
      <c r="M28" t="s">
        <v>135</v>
      </c>
      <c r="N28" t="s">
        <v>44</v>
      </c>
      <c r="O28" s="3">
        <v>900.1</v>
      </c>
      <c r="P28">
        <v>4</v>
      </c>
      <c r="Q28" s="4">
        <v>0.1</v>
      </c>
      <c r="R28" s="3">
        <v>3240.36</v>
      </c>
      <c r="S28" s="3">
        <v>554.58000000000004</v>
      </c>
      <c r="T28" s="3">
        <v>2218.3200000000002</v>
      </c>
      <c r="U28" s="3">
        <v>1022.04</v>
      </c>
      <c r="V28" s="5">
        <v>0.31540939895567155</v>
      </c>
      <c r="W28">
        <v>1</v>
      </c>
      <c r="X28" t="s">
        <v>37</v>
      </c>
      <c r="Y28" s="6">
        <v>5</v>
      </c>
    </row>
    <row r="29" spans="1:25">
      <c r="A29" t="s">
        <v>141</v>
      </c>
      <c r="B29" s="2">
        <v>44964</v>
      </c>
      <c r="C29">
        <v>2023</v>
      </c>
      <c r="D29" t="s">
        <v>26</v>
      </c>
      <c r="E29" t="s">
        <v>131</v>
      </c>
      <c r="F29" t="s">
        <v>65</v>
      </c>
      <c r="G29" t="s">
        <v>66</v>
      </c>
      <c r="H29" t="s">
        <v>67</v>
      </c>
      <c r="I29" t="s">
        <v>71</v>
      </c>
      <c r="J29" t="s">
        <v>142</v>
      </c>
      <c r="K29" t="s">
        <v>61</v>
      </c>
      <c r="L29" t="s">
        <v>84</v>
      </c>
      <c r="M29" t="s">
        <v>85</v>
      </c>
      <c r="N29" t="s">
        <v>36</v>
      </c>
      <c r="O29" s="3">
        <v>143.28</v>
      </c>
      <c r="P29">
        <v>3</v>
      </c>
      <c r="Q29" s="4">
        <v>0.05</v>
      </c>
      <c r="R29" s="3">
        <v>408.34800000000001</v>
      </c>
      <c r="S29" s="3">
        <v>70.41</v>
      </c>
      <c r="T29" s="3">
        <v>211.23</v>
      </c>
      <c r="U29" s="3">
        <v>197.11800000000002</v>
      </c>
      <c r="V29" s="5">
        <v>0.48272062064709514</v>
      </c>
      <c r="W29">
        <v>4</v>
      </c>
      <c r="X29" t="s">
        <v>37</v>
      </c>
      <c r="Y29" s="6">
        <v>4</v>
      </c>
    </row>
    <row r="30" spans="1:25">
      <c r="A30" t="s">
        <v>143</v>
      </c>
      <c r="B30" s="2">
        <v>44964</v>
      </c>
      <c r="C30">
        <v>2023</v>
      </c>
      <c r="D30" t="s">
        <v>26</v>
      </c>
      <c r="E30" t="s">
        <v>131</v>
      </c>
      <c r="F30" t="s">
        <v>39</v>
      </c>
      <c r="G30" t="s">
        <v>111</v>
      </c>
      <c r="H30" t="s">
        <v>112</v>
      </c>
      <c r="I30" t="s">
        <v>42</v>
      </c>
      <c r="J30" t="s">
        <v>144</v>
      </c>
      <c r="K30" t="s">
        <v>33</v>
      </c>
      <c r="L30" t="s">
        <v>73</v>
      </c>
      <c r="M30" t="s">
        <v>138</v>
      </c>
      <c r="N30" t="s">
        <v>36</v>
      </c>
      <c r="O30" s="3">
        <v>320.44</v>
      </c>
      <c r="P30">
        <v>4</v>
      </c>
      <c r="Q30" s="4">
        <v>0.05</v>
      </c>
      <c r="R30" s="3">
        <v>1217.672</v>
      </c>
      <c r="S30" s="3">
        <v>173.16</v>
      </c>
      <c r="T30" s="3">
        <v>692.64</v>
      </c>
      <c r="U30" s="3">
        <v>525.03200000000004</v>
      </c>
      <c r="V30" s="5">
        <v>0.43117686864771471</v>
      </c>
      <c r="W30">
        <v>3</v>
      </c>
      <c r="X30" t="s">
        <v>37</v>
      </c>
      <c r="Y30" s="6">
        <v>5</v>
      </c>
    </row>
    <row r="31" spans="1:25">
      <c r="A31" t="s">
        <v>145</v>
      </c>
      <c r="B31" s="2">
        <v>44965</v>
      </c>
      <c r="C31">
        <v>2023</v>
      </c>
      <c r="D31" t="s">
        <v>26</v>
      </c>
      <c r="E31" t="s">
        <v>131</v>
      </c>
      <c r="F31" t="s">
        <v>65</v>
      </c>
      <c r="G31" t="s">
        <v>76</v>
      </c>
      <c r="H31" t="s">
        <v>126</v>
      </c>
      <c r="I31" t="s">
        <v>31</v>
      </c>
      <c r="J31" t="s">
        <v>146</v>
      </c>
      <c r="K31" t="s">
        <v>47</v>
      </c>
      <c r="L31" t="s">
        <v>48</v>
      </c>
      <c r="M31" t="s">
        <v>104</v>
      </c>
      <c r="N31" t="s">
        <v>44</v>
      </c>
      <c r="O31" s="3">
        <v>54.89</v>
      </c>
      <c r="P31">
        <v>4</v>
      </c>
      <c r="Q31" s="4">
        <v>0</v>
      </c>
      <c r="R31" s="3">
        <v>219.56</v>
      </c>
      <c r="S31" s="3">
        <v>31.58</v>
      </c>
      <c r="T31" s="3">
        <v>126.32</v>
      </c>
      <c r="U31" s="3">
        <v>93.240000000000009</v>
      </c>
      <c r="V31" s="5">
        <v>0.42466751685188564</v>
      </c>
      <c r="W31">
        <v>3</v>
      </c>
      <c r="X31" t="s">
        <v>37</v>
      </c>
      <c r="Y31" s="6">
        <v>5</v>
      </c>
    </row>
    <row r="32" spans="1:25">
      <c r="A32" t="s">
        <v>147</v>
      </c>
      <c r="B32" s="2">
        <v>44965</v>
      </c>
      <c r="C32">
        <v>2023</v>
      </c>
      <c r="D32" t="s">
        <v>26</v>
      </c>
      <c r="E32" t="s">
        <v>131</v>
      </c>
      <c r="F32" t="s">
        <v>51</v>
      </c>
      <c r="G32" t="s">
        <v>52</v>
      </c>
      <c r="H32" t="s">
        <v>53</v>
      </c>
      <c r="I32" t="s">
        <v>42</v>
      </c>
      <c r="J32" t="s">
        <v>148</v>
      </c>
      <c r="K32" t="s">
        <v>47</v>
      </c>
      <c r="L32" t="s">
        <v>55</v>
      </c>
      <c r="M32" t="s">
        <v>69</v>
      </c>
      <c r="N32" t="s">
        <v>36</v>
      </c>
      <c r="O32" s="3">
        <v>43.43</v>
      </c>
      <c r="P32">
        <v>10</v>
      </c>
      <c r="Q32" s="4">
        <v>0.2</v>
      </c>
      <c r="R32" s="3">
        <v>347.44000000000005</v>
      </c>
      <c r="S32" s="3">
        <v>22.12</v>
      </c>
      <c r="T32" s="3">
        <v>221.20000000000002</v>
      </c>
      <c r="U32" s="3">
        <v>126.24000000000004</v>
      </c>
      <c r="V32" s="5">
        <v>0.36334331107529361</v>
      </c>
      <c r="W32">
        <v>7</v>
      </c>
      <c r="X32" t="s">
        <v>37</v>
      </c>
      <c r="Y32" s="6">
        <v>4</v>
      </c>
    </row>
    <row r="33" spans="1:25">
      <c r="A33" t="s">
        <v>149</v>
      </c>
      <c r="B33" s="2">
        <v>44967</v>
      </c>
      <c r="C33">
        <v>2023</v>
      </c>
      <c r="D33" t="s">
        <v>26</v>
      </c>
      <c r="E33" t="s">
        <v>131</v>
      </c>
      <c r="F33" t="s">
        <v>65</v>
      </c>
      <c r="G33" t="s">
        <v>66</v>
      </c>
      <c r="H33" t="s">
        <v>67</v>
      </c>
      <c r="I33" t="s">
        <v>42</v>
      </c>
      <c r="J33" t="s">
        <v>146</v>
      </c>
      <c r="K33" t="s">
        <v>33</v>
      </c>
      <c r="L33" t="s">
        <v>34</v>
      </c>
      <c r="M33" t="s">
        <v>150</v>
      </c>
      <c r="N33" t="s">
        <v>44</v>
      </c>
      <c r="O33" s="3">
        <v>444.14</v>
      </c>
      <c r="P33">
        <v>3</v>
      </c>
      <c r="Q33" s="4">
        <v>0</v>
      </c>
      <c r="R33" s="3">
        <v>1332.42</v>
      </c>
      <c r="S33" s="3">
        <v>247.13</v>
      </c>
      <c r="T33" s="3">
        <v>741.39</v>
      </c>
      <c r="U33" s="3">
        <v>591.03000000000009</v>
      </c>
      <c r="V33" s="5">
        <v>0.4435763497996128</v>
      </c>
      <c r="W33">
        <v>5</v>
      </c>
      <c r="X33" t="s">
        <v>37</v>
      </c>
      <c r="Y33" s="6">
        <v>5</v>
      </c>
    </row>
    <row r="34" spans="1:25">
      <c r="A34" t="s">
        <v>151</v>
      </c>
      <c r="B34" s="2">
        <v>44968</v>
      </c>
      <c r="C34">
        <v>2023</v>
      </c>
      <c r="D34" t="s">
        <v>26</v>
      </c>
      <c r="E34" t="s">
        <v>131</v>
      </c>
      <c r="F34" t="s">
        <v>28</v>
      </c>
      <c r="G34" t="s">
        <v>29</v>
      </c>
      <c r="H34" t="s">
        <v>106</v>
      </c>
      <c r="I34" t="s">
        <v>71</v>
      </c>
      <c r="J34" t="s">
        <v>152</v>
      </c>
      <c r="K34" t="s">
        <v>47</v>
      </c>
      <c r="L34" t="s">
        <v>48</v>
      </c>
      <c r="M34" t="s">
        <v>49</v>
      </c>
      <c r="N34" t="s">
        <v>44</v>
      </c>
      <c r="O34" s="3">
        <v>31.46</v>
      </c>
      <c r="P34">
        <v>11</v>
      </c>
      <c r="Q34" s="4">
        <v>0</v>
      </c>
      <c r="R34" s="3">
        <v>346.06</v>
      </c>
      <c r="S34" s="3">
        <v>14.36</v>
      </c>
      <c r="T34" s="3">
        <v>157.95999999999998</v>
      </c>
      <c r="U34" s="3">
        <v>188.10000000000002</v>
      </c>
      <c r="V34" s="5">
        <v>0.54354736172917995</v>
      </c>
      <c r="W34">
        <v>2</v>
      </c>
      <c r="X34" t="s">
        <v>58</v>
      </c>
      <c r="Y34" s="6">
        <v>3</v>
      </c>
    </row>
    <row r="35" spans="1:25">
      <c r="A35" t="s">
        <v>153</v>
      </c>
      <c r="B35" s="2">
        <v>44969</v>
      </c>
      <c r="C35">
        <v>2023</v>
      </c>
      <c r="D35" t="s">
        <v>26</v>
      </c>
      <c r="E35" t="s">
        <v>131</v>
      </c>
      <c r="F35" t="s">
        <v>28</v>
      </c>
      <c r="G35" t="s">
        <v>29</v>
      </c>
      <c r="H35" t="s">
        <v>60</v>
      </c>
      <c r="I35" t="s">
        <v>42</v>
      </c>
      <c r="J35" t="s">
        <v>154</v>
      </c>
      <c r="K35" t="s">
        <v>33</v>
      </c>
      <c r="L35" t="s">
        <v>88</v>
      </c>
      <c r="M35" t="s">
        <v>89</v>
      </c>
      <c r="N35" t="s">
        <v>57</v>
      </c>
      <c r="O35" s="3">
        <v>238.11</v>
      </c>
      <c r="P35">
        <v>2</v>
      </c>
      <c r="Q35" s="4">
        <v>0.2</v>
      </c>
      <c r="R35" s="3">
        <v>380.97600000000006</v>
      </c>
      <c r="S35" s="3">
        <v>128.63</v>
      </c>
      <c r="T35" s="3">
        <v>257.26</v>
      </c>
      <c r="U35" s="3">
        <v>123.71600000000007</v>
      </c>
      <c r="V35" s="5">
        <v>0.324734366469279</v>
      </c>
      <c r="W35">
        <v>5</v>
      </c>
      <c r="X35" t="s">
        <v>37</v>
      </c>
      <c r="Y35" s="6">
        <v>5</v>
      </c>
    </row>
    <row r="36" spans="1:25">
      <c r="A36" t="s">
        <v>155</v>
      </c>
      <c r="B36" s="2">
        <v>44975</v>
      </c>
      <c r="C36">
        <v>2023</v>
      </c>
      <c r="D36" t="s">
        <v>26</v>
      </c>
      <c r="E36" t="s">
        <v>131</v>
      </c>
      <c r="F36" t="s">
        <v>65</v>
      </c>
      <c r="G36" t="s">
        <v>76</v>
      </c>
      <c r="H36" t="s">
        <v>77</v>
      </c>
      <c r="I36" t="s">
        <v>78</v>
      </c>
      <c r="J36" t="s">
        <v>156</v>
      </c>
      <c r="K36" t="s">
        <v>33</v>
      </c>
      <c r="L36" t="s">
        <v>34</v>
      </c>
      <c r="M36" t="s">
        <v>150</v>
      </c>
      <c r="N36" t="s">
        <v>44</v>
      </c>
      <c r="O36" s="3">
        <v>429.64</v>
      </c>
      <c r="P36">
        <v>5</v>
      </c>
      <c r="Q36" s="4">
        <v>0.05</v>
      </c>
      <c r="R36" s="3">
        <v>2040.7899999999997</v>
      </c>
      <c r="S36" s="3">
        <v>248.69</v>
      </c>
      <c r="T36" s="3">
        <v>1243.45</v>
      </c>
      <c r="U36" s="3">
        <v>797.33999999999969</v>
      </c>
      <c r="V36" s="5">
        <v>0.39070164005115654</v>
      </c>
      <c r="W36">
        <v>2</v>
      </c>
      <c r="X36" t="s">
        <v>37</v>
      </c>
      <c r="Y36" s="6">
        <v>5</v>
      </c>
    </row>
    <row r="37" spans="1:25">
      <c r="A37" t="s">
        <v>157</v>
      </c>
      <c r="B37" s="2">
        <v>44977</v>
      </c>
      <c r="C37">
        <v>2023</v>
      </c>
      <c r="D37" t="s">
        <v>26</v>
      </c>
      <c r="E37" t="s">
        <v>131</v>
      </c>
      <c r="F37" t="s">
        <v>28</v>
      </c>
      <c r="G37" t="s">
        <v>29</v>
      </c>
      <c r="H37" t="s">
        <v>106</v>
      </c>
      <c r="I37" t="s">
        <v>31</v>
      </c>
      <c r="J37" t="s">
        <v>158</v>
      </c>
      <c r="K37" t="s">
        <v>33</v>
      </c>
      <c r="L37" t="s">
        <v>34</v>
      </c>
      <c r="M37" t="s">
        <v>35</v>
      </c>
      <c r="N37" t="s">
        <v>36</v>
      </c>
      <c r="O37" s="3">
        <v>172.18</v>
      </c>
      <c r="P37">
        <v>2</v>
      </c>
      <c r="Q37" s="4">
        <v>0.1</v>
      </c>
      <c r="R37" s="3">
        <v>309.92400000000004</v>
      </c>
      <c r="S37" s="3">
        <v>91.47</v>
      </c>
      <c r="T37" s="3">
        <v>182.94</v>
      </c>
      <c r="U37" s="3">
        <v>126.98400000000004</v>
      </c>
      <c r="V37" s="5">
        <v>0.40972625546908281</v>
      </c>
      <c r="W37">
        <v>1</v>
      </c>
      <c r="X37" t="s">
        <v>37</v>
      </c>
      <c r="Y37" s="6">
        <v>5</v>
      </c>
    </row>
    <row r="38" spans="1:25">
      <c r="A38" t="s">
        <v>159</v>
      </c>
      <c r="B38" s="2">
        <v>44984</v>
      </c>
      <c r="C38">
        <v>2023</v>
      </c>
      <c r="D38" t="s">
        <v>26</v>
      </c>
      <c r="E38" t="s">
        <v>131</v>
      </c>
      <c r="F38" t="s">
        <v>39</v>
      </c>
      <c r="G38" t="s">
        <v>111</v>
      </c>
      <c r="H38" t="s">
        <v>112</v>
      </c>
      <c r="I38" t="s">
        <v>71</v>
      </c>
      <c r="J38" t="s">
        <v>129</v>
      </c>
      <c r="K38" t="s">
        <v>61</v>
      </c>
      <c r="L38" t="s">
        <v>62</v>
      </c>
      <c r="M38" t="s">
        <v>63</v>
      </c>
      <c r="N38" t="s">
        <v>36</v>
      </c>
      <c r="O38" s="3">
        <v>91.68</v>
      </c>
      <c r="P38">
        <v>3</v>
      </c>
      <c r="Q38" s="4">
        <v>0</v>
      </c>
      <c r="R38" s="3">
        <v>275.04000000000002</v>
      </c>
      <c r="S38" s="3">
        <v>43.86</v>
      </c>
      <c r="T38" s="3">
        <v>131.57999999999998</v>
      </c>
      <c r="U38" s="3">
        <v>143.46000000000004</v>
      </c>
      <c r="V38" s="5">
        <v>0.5215968586387435</v>
      </c>
      <c r="W38">
        <v>3</v>
      </c>
      <c r="X38" t="s">
        <v>37</v>
      </c>
      <c r="Y38" s="6">
        <v>5</v>
      </c>
    </row>
    <row r="39" spans="1:25">
      <c r="A39" t="s">
        <v>160</v>
      </c>
      <c r="B39" s="2">
        <v>44985</v>
      </c>
      <c r="C39">
        <v>2023</v>
      </c>
      <c r="D39" t="s">
        <v>26</v>
      </c>
      <c r="E39" t="s">
        <v>131</v>
      </c>
      <c r="F39" t="s">
        <v>51</v>
      </c>
      <c r="G39" t="s">
        <v>52</v>
      </c>
      <c r="H39" t="s">
        <v>102</v>
      </c>
      <c r="I39" t="s">
        <v>78</v>
      </c>
      <c r="J39" t="s">
        <v>161</v>
      </c>
      <c r="K39" t="s">
        <v>33</v>
      </c>
      <c r="L39" t="s">
        <v>88</v>
      </c>
      <c r="M39" t="s">
        <v>89</v>
      </c>
      <c r="N39" t="s">
        <v>36</v>
      </c>
      <c r="O39" s="3">
        <v>246.65</v>
      </c>
      <c r="P39">
        <v>4</v>
      </c>
      <c r="Q39" s="4">
        <v>0.15</v>
      </c>
      <c r="R39" s="3">
        <v>838.61</v>
      </c>
      <c r="S39" s="3">
        <v>128.96</v>
      </c>
      <c r="T39" s="3">
        <v>515.84</v>
      </c>
      <c r="U39" s="3">
        <v>322.77</v>
      </c>
      <c r="V39" s="5">
        <v>0.3848868961734298</v>
      </c>
      <c r="W39">
        <v>8</v>
      </c>
      <c r="X39" t="s">
        <v>37</v>
      </c>
      <c r="Y39" s="6">
        <v>3</v>
      </c>
    </row>
    <row r="40" spans="1:25">
      <c r="A40" t="s">
        <v>162</v>
      </c>
      <c r="B40" s="2">
        <v>44986</v>
      </c>
      <c r="C40">
        <v>2023</v>
      </c>
      <c r="D40" t="s">
        <v>26</v>
      </c>
      <c r="E40" t="s">
        <v>163</v>
      </c>
      <c r="F40" t="s">
        <v>39</v>
      </c>
      <c r="G40" t="s">
        <v>40</v>
      </c>
      <c r="H40" t="s">
        <v>41</v>
      </c>
      <c r="I40" t="s">
        <v>31</v>
      </c>
      <c r="J40" t="s">
        <v>164</v>
      </c>
      <c r="K40" t="s">
        <v>33</v>
      </c>
      <c r="L40" t="s">
        <v>73</v>
      </c>
      <c r="M40" t="s">
        <v>138</v>
      </c>
      <c r="N40" t="s">
        <v>57</v>
      </c>
      <c r="O40" s="3">
        <v>318.44</v>
      </c>
      <c r="P40">
        <v>1</v>
      </c>
      <c r="Q40" s="4">
        <v>0</v>
      </c>
      <c r="R40" s="3">
        <v>318.44</v>
      </c>
      <c r="S40" s="3">
        <v>180.59</v>
      </c>
      <c r="T40" s="3">
        <v>180.59</v>
      </c>
      <c r="U40" s="3">
        <v>137.85</v>
      </c>
      <c r="V40" s="5">
        <v>0.43289159653309883</v>
      </c>
      <c r="W40">
        <v>4</v>
      </c>
      <c r="X40" t="s">
        <v>37</v>
      </c>
      <c r="Y40" s="6">
        <v>4</v>
      </c>
    </row>
    <row r="41" spans="1:25">
      <c r="A41" t="s">
        <v>165</v>
      </c>
      <c r="B41" s="2">
        <v>44987</v>
      </c>
      <c r="C41">
        <v>2023</v>
      </c>
      <c r="D41" t="s">
        <v>26</v>
      </c>
      <c r="E41" t="s">
        <v>163</v>
      </c>
      <c r="F41" t="s">
        <v>39</v>
      </c>
      <c r="G41" t="s">
        <v>91</v>
      </c>
      <c r="H41" t="s">
        <v>92</v>
      </c>
      <c r="I41" t="s">
        <v>42</v>
      </c>
      <c r="J41" t="s">
        <v>152</v>
      </c>
      <c r="K41" t="s">
        <v>61</v>
      </c>
      <c r="L41" t="s">
        <v>84</v>
      </c>
      <c r="M41" t="s">
        <v>85</v>
      </c>
      <c r="N41" t="s">
        <v>36</v>
      </c>
      <c r="O41" s="3">
        <v>152.01</v>
      </c>
      <c r="P41">
        <v>1</v>
      </c>
      <c r="Q41" s="4">
        <v>0</v>
      </c>
      <c r="R41" s="3">
        <v>152.01</v>
      </c>
      <c r="S41" s="3">
        <v>72.47</v>
      </c>
      <c r="T41" s="3">
        <v>72.47</v>
      </c>
      <c r="U41" s="3">
        <v>79.539999999999992</v>
      </c>
      <c r="V41" s="5">
        <v>0.52325504900993358</v>
      </c>
      <c r="W41">
        <v>2</v>
      </c>
      <c r="X41" t="s">
        <v>37</v>
      </c>
      <c r="Y41" s="6">
        <v>5</v>
      </c>
    </row>
    <row r="42" spans="1:25">
      <c r="A42" t="s">
        <v>166</v>
      </c>
      <c r="B42" s="2">
        <v>44987</v>
      </c>
      <c r="C42">
        <v>2023</v>
      </c>
      <c r="D42" t="s">
        <v>26</v>
      </c>
      <c r="E42" t="s">
        <v>163</v>
      </c>
      <c r="F42" t="s">
        <v>39</v>
      </c>
      <c r="G42" t="s">
        <v>40</v>
      </c>
      <c r="H42" t="s">
        <v>41</v>
      </c>
      <c r="I42" t="s">
        <v>78</v>
      </c>
      <c r="J42" t="s">
        <v>167</v>
      </c>
      <c r="K42" t="s">
        <v>61</v>
      </c>
      <c r="L42" t="s">
        <v>84</v>
      </c>
      <c r="M42" t="s">
        <v>85</v>
      </c>
      <c r="N42" t="s">
        <v>44</v>
      </c>
      <c r="O42" s="3">
        <v>145.15</v>
      </c>
      <c r="P42">
        <v>1</v>
      </c>
      <c r="Q42" s="4">
        <v>0</v>
      </c>
      <c r="R42" s="3">
        <v>145.15</v>
      </c>
      <c r="S42" s="3">
        <v>72.61</v>
      </c>
      <c r="T42" s="3">
        <v>72.61</v>
      </c>
      <c r="U42" s="3">
        <v>72.540000000000006</v>
      </c>
      <c r="V42" s="5">
        <v>0.49975887013434378</v>
      </c>
      <c r="W42">
        <v>2</v>
      </c>
      <c r="X42" t="s">
        <v>37</v>
      </c>
      <c r="Y42" s="6">
        <v>5</v>
      </c>
    </row>
    <row r="43" spans="1:25">
      <c r="A43" t="s">
        <v>168</v>
      </c>
      <c r="B43" s="2">
        <v>44987</v>
      </c>
      <c r="C43">
        <v>2023</v>
      </c>
      <c r="D43" t="s">
        <v>26</v>
      </c>
      <c r="E43" t="s">
        <v>163</v>
      </c>
      <c r="F43" t="s">
        <v>65</v>
      </c>
      <c r="G43" t="s">
        <v>66</v>
      </c>
      <c r="H43" t="s">
        <v>67</v>
      </c>
      <c r="I43" t="s">
        <v>42</v>
      </c>
      <c r="J43" t="s">
        <v>169</v>
      </c>
      <c r="K43" t="s">
        <v>33</v>
      </c>
      <c r="L43" t="s">
        <v>88</v>
      </c>
      <c r="M43" t="s">
        <v>100</v>
      </c>
      <c r="N43" t="s">
        <v>44</v>
      </c>
      <c r="O43" s="3">
        <v>287.85000000000002</v>
      </c>
      <c r="P43">
        <v>5</v>
      </c>
      <c r="Q43" s="4">
        <v>0</v>
      </c>
      <c r="R43" s="3">
        <v>1439.25</v>
      </c>
      <c r="S43" s="3">
        <v>155.66</v>
      </c>
      <c r="T43" s="3">
        <v>778.3</v>
      </c>
      <c r="U43" s="3">
        <v>660.95</v>
      </c>
      <c r="V43" s="5">
        <v>0.45923223901337507</v>
      </c>
      <c r="W43">
        <v>4</v>
      </c>
      <c r="X43" t="s">
        <v>58</v>
      </c>
      <c r="Y43" s="6">
        <v>4</v>
      </c>
    </row>
    <row r="44" spans="1:25">
      <c r="A44" t="s">
        <v>170</v>
      </c>
      <c r="B44" s="2">
        <v>44988</v>
      </c>
      <c r="C44">
        <v>2023</v>
      </c>
      <c r="D44" t="s">
        <v>26</v>
      </c>
      <c r="E44" t="s">
        <v>163</v>
      </c>
      <c r="F44" t="s">
        <v>51</v>
      </c>
      <c r="G44" t="s">
        <v>97</v>
      </c>
      <c r="H44" t="s">
        <v>98</v>
      </c>
      <c r="I44" t="s">
        <v>31</v>
      </c>
      <c r="J44" t="s">
        <v>171</v>
      </c>
      <c r="K44" t="s">
        <v>33</v>
      </c>
      <c r="L44" t="s">
        <v>34</v>
      </c>
      <c r="M44" t="s">
        <v>150</v>
      </c>
      <c r="N44" t="s">
        <v>57</v>
      </c>
      <c r="O44" s="3">
        <v>448.85</v>
      </c>
      <c r="P44">
        <v>2</v>
      </c>
      <c r="Q44" s="4">
        <v>0.05</v>
      </c>
      <c r="R44" s="3">
        <v>852.81500000000005</v>
      </c>
      <c r="S44" s="3">
        <v>248.47</v>
      </c>
      <c r="T44" s="3">
        <v>496.94</v>
      </c>
      <c r="U44" s="3">
        <v>355.87500000000006</v>
      </c>
      <c r="V44" s="5">
        <v>0.41729448942619446</v>
      </c>
      <c r="W44">
        <v>1</v>
      </c>
      <c r="X44" t="s">
        <v>37</v>
      </c>
      <c r="Y44" s="6">
        <v>5</v>
      </c>
    </row>
    <row r="45" spans="1:25">
      <c r="A45" t="s">
        <v>172</v>
      </c>
      <c r="B45" s="2">
        <v>44988</v>
      </c>
      <c r="C45">
        <v>2023</v>
      </c>
      <c r="D45" t="s">
        <v>26</v>
      </c>
      <c r="E45" t="s">
        <v>163</v>
      </c>
      <c r="F45" t="s">
        <v>28</v>
      </c>
      <c r="G45" t="s">
        <v>29</v>
      </c>
      <c r="H45" t="s">
        <v>30</v>
      </c>
      <c r="I45" t="s">
        <v>71</v>
      </c>
      <c r="J45" t="s">
        <v>173</v>
      </c>
      <c r="K45" t="s">
        <v>33</v>
      </c>
      <c r="L45" t="s">
        <v>88</v>
      </c>
      <c r="M45" t="s">
        <v>89</v>
      </c>
      <c r="N45" t="s">
        <v>36</v>
      </c>
      <c r="O45" s="3">
        <v>257.82</v>
      </c>
      <c r="P45">
        <v>5</v>
      </c>
      <c r="Q45" s="4">
        <v>0.15</v>
      </c>
      <c r="R45" s="3">
        <v>1095.7349999999999</v>
      </c>
      <c r="S45" s="3">
        <v>127.68</v>
      </c>
      <c r="T45" s="3">
        <v>638.40000000000009</v>
      </c>
      <c r="U45" s="3">
        <v>457.33499999999981</v>
      </c>
      <c r="V45" s="5">
        <v>0.41737737682925147</v>
      </c>
      <c r="W45">
        <v>3</v>
      </c>
      <c r="X45" t="s">
        <v>37</v>
      </c>
      <c r="Y45" s="6">
        <v>5</v>
      </c>
    </row>
    <row r="46" spans="1:25">
      <c r="A46" t="s">
        <v>174</v>
      </c>
      <c r="B46" s="2">
        <v>44993</v>
      </c>
      <c r="C46">
        <v>2023</v>
      </c>
      <c r="D46" t="s">
        <v>26</v>
      </c>
      <c r="E46" t="s">
        <v>163</v>
      </c>
      <c r="F46" t="s">
        <v>28</v>
      </c>
      <c r="G46" t="s">
        <v>29</v>
      </c>
      <c r="H46" t="s">
        <v>60</v>
      </c>
      <c r="I46" t="s">
        <v>71</v>
      </c>
      <c r="J46" t="s">
        <v>175</v>
      </c>
      <c r="K46" t="s">
        <v>33</v>
      </c>
      <c r="L46" t="s">
        <v>34</v>
      </c>
      <c r="M46" t="s">
        <v>150</v>
      </c>
      <c r="N46" t="s">
        <v>57</v>
      </c>
      <c r="O46" s="3">
        <v>434.55</v>
      </c>
      <c r="P46">
        <v>4</v>
      </c>
      <c r="Q46" s="4">
        <v>0.05</v>
      </c>
      <c r="R46" s="3">
        <v>1651.29</v>
      </c>
      <c r="S46" s="3">
        <v>247.38</v>
      </c>
      <c r="T46" s="3">
        <v>989.52</v>
      </c>
      <c r="U46" s="3">
        <v>661.77</v>
      </c>
      <c r="V46" s="5">
        <v>0.40075940628236106</v>
      </c>
      <c r="W46">
        <v>3</v>
      </c>
      <c r="X46" t="s">
        <v>37</v>
      </c>
      <c r="Y46" s="6">
        <v>4</v>
      </c>
    </row>
    <row r="47" spans="1:25">
      <c r="A47" t="s">
        <v>176</v>
      </c>
      <c r="B47" s="2">
        <v>44993</v>
      </c>
      <c r="C47">
        <v>2023</v>
      </c>
      <c r="D47" t="s">
        <v>26</v>
      </c>
      <c r="E47" t="s">
        <v>163</v>
      </c>
      <c r="F47" t="s">
        <v>65</v>
      </c>
      <c r="G47" t="s">
        <v>76</v>
      </c>
      <c r="H47" t="s">
        <v>126</v>
      </c>
      <c r="I47" t="s">
        <v>42</v>
      </c>
      <c r="J47" t="s">
        <v>177</v>
      </c>
      <c r="K47" t="s">
        <v>47</v>
      </c>
      <c r="L47" t="s">
        <v>114</v>
      </c>
      <c r="M47" t="s">
        <v>120</v>
      </c>
      <c r="N47" t="s">
        <v>36</v>
      </c>
      <c r="O47" s="3">
        <v>25.24</v>
      </c>
      <c r="P47">
        <v>2</v>
      </c>
      <c r="Q47" s="4">
        <v>0.1</v>
      </c>
      <c r="R47" s="3">
        <v>45.431999999999995</v>
      </c>
      <c r="S47" s="3">
        <v>10.86</v>
      </c>
      <c r="T47" s="3">
        <v>21.72</v>
      </c>
      <c r="U47" s="3">
        <v>23.711999999999996</v>
      </c>
      <c r="V47" s="5">
        <v>0.52192287374537771</v>
      </c>
      <c r="W47">
        <v>1</v>
      </c>
      <c r="X47" t="s">
        <v>37</v>
      </c>
      <c r="Y47" s="6">
        <v>5</v>
      </c>
    </row>
    <row r="48" spans="1:25">
      <c r="A48" t="s">
        <v>178</v>
      </c>
      <c r="B48" s="2">
        <v>44994</v>
      </c>
      <c r="C48">
        <v>2023</v>
      </c>
      <c r="D48" t="s">
        <v>26</v>
      </c>
      <c r="E48" t="s">
        <v>163</v>
      </c>
      <c r="F48" t="s">
        <v>65</v>
      </c>
      <c r="G48" t="s">
        <v>76</v>
      </c>
      <c r="H48" t="s">
        <v>77</v>
      </c>
      <c r="I48" t="s">
        <v>42</v>
      </c>
      <c r="J48" t="s">
        <v>179</v>
      </c>
      <c r="K48" t="s">
        <v>33</v>
      </c>
      <c r="L48" t="s">
        <v>34</v>
      </c>
      <c r="M48" t="s">
        <v>150</v>
      </c>
      <c r="N48" t="s">
        <v>44</v>
      </c>
      <c r="O48" s="3">
        <v>446.66</v>
      </c>
      <c r="P48">
        <v>3</v>
      </c>
      <c r="Q48" s="4">
        <v>0.15</v>
      </c>
      <c r="R48" s="3">
        <v>1138.9829999999999</v>
      </c>
      <c r="S48" s="3">
        <v>247.54</v>
      </c>
      <c r="T48" s="3">
        <v>742.62</v>
      </c>
      <c r="U48" s="3">
        <v>396.36299999999994</v>
      </c>
      <c r="V48" s="5">
        <v>0.34799729232130766</v>
      </c>
      <c r="W48">
        <v>1</v>
      </c>
      <c r="X48" t="s">
        <v>37</v>
      </c>
      <c r="Y48" s="6">
        <v>5</v>
      </c>
    </row>
    <row r="49" spans="1:25">
      <c r="A49" t="s">
        <v>180</v>
      </c>
      <c r="B49" s="2">
        <v>44995</v>
      </c>
      <c r="C49">
        <v>2023</v>
      </c>
      <c r="D49" t="s">
        <v>26</v>
      </c>
      <c r="E49" t="s">
        <v>163</v>
      </c>
      <c r="F49" t="s">
        <v>65</v>
      </c>
      <c r="G49" t="s">
        <v>76</v>
      </c>
      <c r="H49" t="s">
        <v>126</v>
      </c>
      <c r="I49" t="s">
        <v>78</v>
      </c>
      <c r="J49" t="s">
        <v>181</v>
      </c>
      <c r="K49" t="s">
        <v>33</v>
      </c>
      <c r="L49" t="s">
        <v>73</v>
      </c>
      <c r="M49" t="s">
        <v>74</v>
      </c>
      <c r="N49" t="s">
        <v>36</v>
      </c>
      <c r="O49" s="3">
        <v>680.06</v>
      </c>
      <c r="P49">
        <v>1</v>
      </c>
      <c r="Q49" s="4">
        <v>0.05</v>
      </c>
      <c r="R49" s="3">
        <v>646.0569999999999</v>
      </c>
      <c r="S49" s="3">
        <v>417.52</v>
      </c>
      <c r="T49" s="3">
        <v>417.52</v>
      </c>
      <c r="U49" s="3">
        <v>228.53699999999992</v>
      </c>
      <c r="V49" s="5">
        <v>0.35374123335866642</v>
      </c>
      <c r="W49">
        <v>1</v>
      </c>
      <c r="X49" t="s">
        <v>37</v>
      </c>
      <c r="Y49" s="6">
        <v>5</v>
      </c>
    </row>
    <row r="50" spans="1:25">
      <c r="A50" t="s">
        <v>182</v>
      </c>
      <c r="B50" s="2">
        <v>44995</v>
      </c>
      <c r="C50">
        <v>2023</v>
      </c>
      <c r="D50" t="s">
        <v>26</v>
      </c>
      <c r="E50" t="s">
        <v>163</v>
      </c>
      <c r="F50" t="s">
        <v>51</v>
      </c>
      <c r="G50" t="s">
        <v>52</v>
      </c>
      <c r="H50" t="s">
        <v>53</v>
      </c>
      <c r="I50" t="s">
        <v>42</v>
      </c>
      <c r="J50" t="s">
        <v>183</v>
      </c>
      <c r="K50" t="s">
        <v>47</v>
      </c>
      <c r="L50" t="s">
        <v>55</v>
      </c>
      <c r="M50" t="s">
        <v>56</v>
      </c>
      <c r="N50" t="s">
        <v>57</v>
      </c>
      <c r="O50" s="3">
        <v>39.130000000000003</v>
      </c>
      <c r="P50">
        <v>9</v>
      </c>
      <c r="Q50" s="4">
        <v>0.1</v>
      </c>
      <c r="R50" s="3">
        <v>316.95300000000003</v>
      </c>
      <c r="S50" s="3">
        <v>16.52</v>
      </c>
      <c r="T50" s="3">
        <v>148.68</v>
      </c>
      <c r="U50" s="3">
        <v>168.27300000000002</v>
      </c>
      <c r="V50" s="5">
        <v>0.5309083681176705</v>
      </c>
      <c r="W50">
        <v>1</v>
      </c>
      <c r="X50" t="s">
        <v>37</v>
      </c>
      <c r="Y50" s="6">
        <v>5</v>
      </c>
    </row>
    <row r="51" spans="1:25">
      <c r="A51" t="s">
        <v>184</v>
      </c>
      <c r="B51" s="2">
        <v>44996</v>
      </c>
      <c r="C51">
        <v>2023</v>
      </c>
      <c r="D51" t="s">
        <v>26</v>
      </c>
      <c r="E51" t="s">
        <v>163</v>
      </c>
      <c r="F51" t="s">
        <v>65</v>
      </c>
      <c r="G51" t="s">
        <v>66</v>
      </c>
      <c r="H51" t="s">
        <v>67</v>
      </c>
      <c r="I51" t="s">
        <v>71</v>
      </c>
      <c r="J51" t="s">
        <v>185</v>
      </c>
      <c r="K51" t="s">
        <v>47</v>
      </c>
      <c r="L51" t="s">
        <v>55</v>
      </c>
      <c r="M51" t="s">
        <v>56</v>
      </c>
      <c r="N51" t="s">
        <v>44</v>
      </c>
      <c r="O51" s="3">
        <v>38.380000000000003</v>
      </c>
      <c r="P51">
        <v>12</v>
      </c>
      <c r="Q51" s="4">
        <v>0.1</v>
      </c>
      <c r="R51" s="3">
        <v>414.50400000000008</v>
      </c>
      <c r="S51" s="3">
        <v>17.350000000000001</v>
      </c>
      <c r="T51" s="3">
        <v>208.20000000000002</v>
      </c>
      <c r="U51" s="3">
        <v>206.30400000000006</v>
      </c>
      <c r="V51" s="5">
        <v>0.49771292918765564</v>
      </c>
      <c r="W51">
        <v>1</v>
      </c>
      <c r="X51" t="s">
        <v>37</v>
      </c>
      <c r="Y51" s="6">
        <v>5</v>
      </c>
    </row>
    <row r="52" spans="1:25">
      <c r="A52" t="s">
        <v>186</v>
      </c>
      <c r="B52" s="2">
        <v>44996</v>
      </c>
      <c r="C52">
        <v>2023</v>
      </c>
      <c r="D52" t="s">
        <v>26</v>
      </c>
      <c r="E52" t="s">
        <v>163</v>
      </c>
      <c r="F52" t="s">
        <v>65</v>
      </c>
      <c r="G52" t="s">
        <v>76</v>
      </c>
      <c r="H52" t="s">
        <v>126</v>
      </c>
      <c r="I52" t="s">
        <v>42</v>
      </c>
      <c r="J52" t="s">
        <v>43</v>
      </c>
      <c r="K52" t="s">
        <v>61</v>
      </c>
      <c r="L52" t="s">
        <v>80</v>
      </c>
      <c r="M52" t="s">
        <v>187</v>
      </c>
      <c r="N52" t="s">
        <v>57</v>
      </c>
      <c r="O52" s="3">
        <v>1280.3800000000001</v>
      </c>
      <c r="P52">
        <v>3</v>
      </c>
      <c r="Q52" s="4">
        <v>0.05</v>
      </c>
      <c r="R52" s="3">
        <v>3649.0830000000001</v>
      </c>
      <c r="S52" s="3">
        <v>872.25</v>
      </c>
      <c r="T52" s="3">
        <v>2616.75</v>
      </c>
      <c r="U52" s="3">
        <v>1032.3330000000001</v>
      </c>
      <c r="V52" s="5">
        <v>0.28290203319573715</v>
      </c>
      <c r="W52">
        <v>2</v>
      </c>
      <c r="X52" t="s">
        <v>37</v>
      </c>
      <c r="Y52" s="6">
        <v>5</v>
      </c>
    </row>
    <row r="53" spans="1:25">
      <c r="A53" t="s">
        <v>188</v>
      </c>
      <c r="B53" s="2">
        <v>44997</v>
      </c>
      <c r="C53">
        <v>2023</v>
      </c>
      <c r="D53" t="s">
        <v>26</v>
      </c>
      <c r="E53" t="s">
        <v>163</v>
      </c>
      <c r="F53" t="s">
        <v>28</v>
      </c>
      <c r="G53" t="s">
        <v>29</v>
      </c>
      <c r="H53" t="s">
        <v>60</v>
      </c>
      <c r="I53" t="s">
        <v>42</v>
      </c>
      <c r="J53" t="s">
        <v>189</v>
      </c>
      <c r="K53" t="s">
        <v>33</v>
      </c>
      <c r="L53" t="s">
        <v>73</v>
      </c>
      <c r="M53" t="s">
        <v>74</v>
      </c>
      <c r="N53" t="s">
        <v>44</v>
      </c>
      <c r="O53" s="3">
        <v>690.15</v>
      </c>
      <c r="P53">
        <v>2</v>
      </c>
      <c r="Q53" s="4">
        <v>0</v>
      </c>
      <c r="R53" s="3">
        <v>1380.3</v>
      </c>
      <c r="S53" s="3">
        <v>431.82</v>
      </c>
      <c r="T53" s="3">
        <v>863.64</v>
      </c>
      <c r="U53" s="3">
        <v>516.66</v>
      </c>
      <c r="V53" s="5">
        <v>0.37430993262334272</v>
      </c>
      <c r="W53">
        <v>1</v>
      </c>
      <c r="X53" t="s">
        <v>37</v>
      </c>
      <c r="Y53" s="6">
        <v>5</v>
      </c>
    </row>
    <row r="54" spans="1:25">
      <c r="A54" t="s">
        <v>190</v>
      </c>
      <c r="B54" s="2">
        <v>44999</v>
      </c>
      <c r="C54">
        <v>2023</v>
      </c>
      <c r="D54" t="s">
        <v>26</v>
      </c>
      <c r="E54" t="s">
        <v>163</v>
      </c>
      <c r="F54" t="s">
        <v>39</v>
      </c>
      <c r="G54" t="s">
        <v>40</v>
      </c>
      <c r="H54" t="s">
        <v>41</v>
      </c>
      <c r="I54" t="s">
        <v>71</v>
      </c>
      <c r="J54" t="s">
        <v>124</v>
      </c>
      <c r="K54" t="s">
        <v>47</v>
      </c>
      <c r="L54" t="s">
        <v>114</v>
      </c>
      <c r="M54" t="s">
        <v>120</v>
      </c>
      <c r="N54" t="s">
        <v>44</v>
      </c>
      <c r="O54" s="3">
        <v>25.1</v>
      </c>
      <c r="P54">
        <v>3</v>
      </c>
      <c r="Q54" s="4">
        <v>0</v>
      </c>
      <c r="R54" s="3">
        <v>75.300000000000011</v>
      </c>
      <c r="S54" s="3">
        <v>10.84</v>
      </c>
      <c r="T54" s="3">
        <v>32.519999999999996</v>
      </c>
      <c r="U54" s="3">
        <v>42.780000000000015</v>
      </c>
      <c r="V54" s="5">
        <v>0.56812749003984075</v>
      </c>
      <c r="W54">
        <v>2</v>
      </c>
      <c r="X54" t="s">
        <v>37</v>
      </c>
      <c r="Y54" s="6">
        <v>5</v>
      </c>
    </row>
    <row r="55" spans="1:25">
      <c r="A55" t="s">
        <v>191</v>
      </c>
      <c r="B55" s="2">
        <v>44999</v>
      </c>
      <c r="C55">
        <v>2023</v>
      </c>
      <c r="D55" t="s">
        <v>26</v>
      </c>
      <c r="E55" t="s">
        <v>163</v>
      </c>
      <c r="F55" t="s">
        <v>51</v>
      </c>
      <c r="G55" t="s">
        <v>52</v>
      </c>
      <c r="H55" t="s">
        <v>102</v>
      </c>
      <c r="I55" t="s">
        <v>42</v>
      </c>
      <c r="J55" t="s">
        <v>192</v>
      </c>
      <c r="K55" t="s">
        <v>61</v>
      </c>
      <c r="L55" t="s">
        <v>84</v>
      </c>
      <c r="M55" t="s">
        <v>85</v>
      </c>
      <c r="N55" t="s">
        <v>36</v>
      </c>
      <c r="O55" s="3">
        <v>153.46</v>
      </c>
      <c r="P55">
        <v>4</v>
      </c>
      <c r="Q55" s="4">
        <v>0</v>
      </c>
      <c r="R55" s="3">
        <v>613.84</v>
      </c>
      <c r="S55" s="3">
        <v>73.11</v>
      </c>
      <c r="T55" s="3">
        <v>292.44</v>
      </c>
      <c r="U55" s="3">
        <v>321.40000000000003</v>
      </c>
      <c r="V55" s="5">
        <v>0.5235892089143751</v>
      </c>
      <c r="W55">
        <v>8</v>
      </c>
      <c r="X55" t="s">
        <v>37</v>
      </c>
      <c r="Y55" s="6">
        <v>4</v>
      </c>
    </row>
    <row r="56" spans="1:25">
      <c r="A56" t="s">
        <v>193</v>
      </c>
      <c r="B56" s="2">
        <v>45001</v>
      </c>
      <c r="C56">
        <v>2023</v>
      </c>
      <c r="D56" t="s">
        <v>26</v>
      </c>
      <c r="E56" t="s">
        <v>163</v>
      </c>
      <c r="F56" t="s">
        <v>51</v>
      </c>
      <c r="G56" t="s">
        <v>52</v>
      </c>
      <c r="H56" t="s">
        <v>53</v>
      </c>
      <c r="I56" t="s">
        <v>78</v>
      </c>
      <c r="J56" t="s">
        <v>194</v>
      </c>
      <c r="K56" t="s">
        <v>61</v>
      </c>
      <c r="L56" t="s">
        <v>62</v>
      </c>
      <c r="M56" t="s">
        <v>195</v>
      </c>
      <c r="N56" t="s">
        <v>36</v>
      </c>
      <c r="O56" s="3">
        <v>71.78</v>
      </c>
      <c r="P56">
        <v>4</v>
      </c>
      <c r="Q56" s="4">
        <v>0.1</v>
      </c>
      <c r="R56" s="3">
        <v>258.40800000000002</v>
      </c>
      <c r="S56" s="3">
        <v>32.229999999999997</v>
      </c>
      <c r="T56" s="3">
        <v>128.91999999999999</v>
      </c>
      <c r="U56" s="3">
        <v>129.48800000000003</v>
      </c>
      <c r="V56" s="5">
        <v>0.5010990371815115</v>
      </c>
      <c r="W56">
        <v>9</v>
      </c>
      <c r="X56" t="s">
        <v>58</v>
      </c>
      <c r="Y56" s="6">
        <v>2</v>
      </c>
    </row>
    <row r="57" spans="1:25">
      <c r="A57" t="s">
        <v>196</v>
      </c>
      <c r="B57" s="2">
        <v>45002</v>
      </c>
      <c r="C57">
        <v>2023</v>
      </c>
      <c r="D57" t="s">
        <v>26</v>
      </c>
      <c r="E57" t="s">
        <v>163</v>
      </c>
      <c r="F57" t="s">
        <v>28</v>
      </c>
      <c r="G57" t="s">
        <v>29</v>
      </c>
      <c r="H57" t="s">
        <v>60</v>
      </c>
      <c r="I57" t="s">
        <v>42</v>
      </c>
      <c r="J57" t="s">
        <v>197</v>
      </c>
      <c r="K57" t="s">
        <v>47</v>
      </c>
      <c r="L57" t="s">
        <v>114</v>
      </c>
      <c r="M57" t="s">
        <v>115</v>
      </c>
      <c r="N57" t="s">
        <v>57</v>
      </c>
      <c r="O57" s="3">
        <v>18.32</v>
      </c>
      <c r="P57">
        <v>1</v>
      </c>
      <c r="Q57" s="4">
        <v>0.2</v>
      </c>
      <c r="R57" s="3">
        <v>14.656000000000001</v>
      </c>
      <c r="S57" s="3">
        <v>7.16</v>
      </c>
      <c r="T57" s="3">
        <v>7.16</v>
      </c>
      <c r="U57" s="3">
        <v>7.4960000000000004</v>
      </c>
      <c r="V57" s="5">
        <v>0.51146288209606983</v>
      </c>
      <c r="W57">
        <v>7</v>
      </c>
      <c r="X57" t="s">
        <v>37</v>
      </c>
      <c r="Y57" s="6">
        <v>4</v>
      </c>
    </row>
    <row r="58" spans="1:25">
      <c r="A58" t="s">
        <v>198</v>
      </c>
      <c r="B58" s="2">
        <v>45004</v>
      </c>
      <c r="C58">
        <v>2023</v>
      </c>
      <c r="D58" t="s">
        <v>26</v>
      </c>
      <c r="E58" t="s">
        <v>163</v>
      </c>
      <c r="F58" t="s">
        <v>28</v>
      </c>
      <c r="G58" t="s">
        <v>29</v>
      </c>
      <c r="H58" t="s">
        <v>106</v>
      </c>
      <c r="I58" t="s">
        <v>31</v>
      </c>
      <c r="J58" t="s">
        <v>199</v>
      </c>
      <c r="K58" t="s">
        <v>33</v>
      </c>
      <c r="L58" t="s">
        <v>34</v>
      </c>
      <c r="M58" t="s">
        <v>150</v>
      </c>
      <c r="N58" t="s">
        <v>36</v>
      </c>
      <c r="O58" s="3">
        <v>411.76</v>
      </c>
      <c r="P58">
        <v>4</v>
      </c>
      <c r="Q58" s="4">
        <v>0.2</v>
      </c>
      <c r="R58" s="3">
        <v>1317.6320000000001</v>
      </c>
      <c r="S58" s="3">
        <v>247.96</v>
      </c>
      <c r="T58" s="3">
        <v>991.84</v>
      </c>
      <c r="U58" s="3">
        <v>325.79200000000003</v>
      </c>
      <c r="V58" s="5">
        <v>0.24725568292209055</v>
      </c>
      <c r="W58">
        <v>1</v>
      </c>
      <c r="X58" t="s">
        <v>37</v>
      </c>
      <c r="Y58" s="6">
        <v>5</v>
      </c>
    </row>
    <row r="59" spans="1:25">
      <c r="A59" t="s">
        <v>200</v>
      </c>
      <c r="B59" s="2">
        <v>45006</v>
      </c>
      <c r="C59">
        <v>2023</v>
      </c>
      <c r="D59" t="s">
        <v>26</v>
      </c>
      <c r="E59" t="s">
        <v>163</v>
      </c>
      <c r="F59" t="s">
        <v>28</v>
      </c>
      <c r="G59" t="s">
        <v>29</v>
      </c>
      <c r="H59" t="s">
        <v>30</v>
      </c>
      <c r="I59" t="s">
        <v>42</v>
      </c>
      <c r="J59" t="s">
        <v>201</v>
      </c>
      <c r="K59" t="s">
        <v>47</v>
      </c>
      <c r="L59" t="s">
        <v>48</v>
      </c>
      <c r="M59" t="s">
        <v>49</v>
      </c>
      <c r="N59" t="s">
        <v>44</v>
      </c>
      <c r="O59" s="3">
        <v>30.76</v>
      </c>
      <c r="P59">
        <v>7</v>
      </c>
      <c r="Q59" s="4">
        <v>0</v>
      </c>
      <c r="R59" s="3">
        <v>215.32000000000002</v>
      </c>
      <c r="S59" s="3">
        <v>14</v>
      </c>
      <c r="T59" s="3">
        <v>98</v>
      </c>
      <c r="U59" s="3">
        <v>117.32000000000002</v>
      </c>
      <c r="V59" s="5">
        <v>0.54486345903771138</v>
      </c>
      <c r="W59">
        <v>5</v>
      </c>
      <c r="X59" t="s">
        <v>37</v>
      </c>
      <c r="Y59" s="6">
        <v>4</v>
      </c>
    </row>
    <row r="60" spans="1:25">
      <c r="A60" t="s">
        <v>202</v>
      </c>
      <c r="B60" s="2">
        <v>45007</v>
      </c>
      <c r="C60">
        <v>2023</v>
      </c>
      <c r="D60" t="s">
        <v>26</v>
      </c>
      <c r="E60" t="s">
        <v>163</v>
      </c>
      <c r="F60" t="s">
        <v>51</v>
      </c>
      <c r="G60" t="s">
        <v>97</v>
      </c>
      <c r="H60" t="s">
        <v>98</v>
      </c>
      <c r="I60" t="s">
        <v>42</v>
      </c>
      <c r="J60" t="s">
        <v>203</v>
      </c>
      <c r="K60" t="s">
        <v>33</v>
      </c>
      <c r="L60" t="s">
        <v>34</v>
      </c>
      <c r="M60" t="s">
        <v>150</v>
      </c>
      <c r="N60" t="s">
        <v>44</v>
      </c>
      <c r="O60" s="3">
        <v>409.93</v>
      </c>
      <c r="P60">
        <v>2</v>
      </c>
      <c r="Q60" s="4">
        <v>0.2</v>
      </c>
      <c r="R60" s="3">
        <v>655.88800000000003</v>
      </c>
      <c r="S60" s="3">
        <v>249.65</v>
      </c>
      <c r="T60" s="3">
        <v>499.3</v>
      </c>
      <c r="U60" s="3">
        <v>156.58800000000002</v>
      </c>
      <c r="V60" s="5">
        <v>0.23874198033810654</v>
      </c>
      <c r="W60">
        <v>4</v>
      </c>
      <c r="X60" t="s">
        <v>37</v>
      </c>
      <c r="Y60" s="6">
        <v>5</v>
      </c>
    </row>
    <row r="61" spans="1:25">
      <c r="A61" t="s">
        <v>204</v>
      </c>
      <c r="B61" s="2">
        <v>45007</v>
      </c>
      <c r="C61">
        <v>2023</v>
      </c>
      <c r="D61" t="s">
        <v>26</v>
      </c>
      <c r="E61" t="s">
        <v>163</v>
      </c>
      <c r="F61" t="s">
        <v>65</v>
      </c>
      <c r="G61" t="s">
        <v>66</v>
      </c>
      <c r="H61" t="s">
        <v>67</v>
      </c>
      <c r="I61" t="s">
        <v>31</v>
      </c>
      <c r="J61" t="s">
        <v>205</v>
      </c>
      <c r="K61" t="s">
        <v>47</v>
      </c>
      <c r="L61" t="s">
        <v>114</v>
      </c>
      <c r="M61" t="s">
        <v>115</v>
      </c>
      <c r="N61" t="s">
        <v>57</v>
      </c>
      <c r="O61" s="3">
        <v>17.66</v>
      </c>
      <c r="P61">
        <v>6</v>
      </c>
      <c r="Q61" s="4">
        <v>0.2</v>
      </c>
      <c r="R61" s="3">
        <v>84.768000000000015</v>
      </c>
      <c r="S61" s="3">
        <v>6.93</v>
      </c>
      <c r="T61" s="3">
        <v>41.58</v>
      </c>
      <c r="U61" s="3">
        <v>43.188000000000017</v>
      </c>
      <c r="V61" s="5">
        <v>0.50948471121177819</v>
      </c>
      <c r="W61">
        <v>6</v>
      </c>
      <c r="X61" t="s">
        <v>37</v>
      </c>
      <c r="Y61" s="6">
        <v>4</v>
      </c>
    </row>
    <row r="62" spans="1:25">
      <c r="A62" t="s">
        <v>206</v>
      </c>
      <c r="B62" s="2">
        <v>45007</v>
      </c>
      <c r="C62">
        <v>2023</v>
      </c>
      <c r="D62" t="s">
        <v>26</v>
      </c>
      <c r="E62" t="s">
        <v>163</v>
      </c>
      <c r="F62" t="s">
        <v>28</v>
      </c>
      <c r="G62" t="s">
        <v>29</v>
      </c>
      <c r="H62" t="s">
        <v>106</v>
      </c>
      <c r="I62" t="s">
        <v>31</v>
      </c>
      <c r="J62" t="s">
        <v>207</v>
      </c>
      <c r="K62" t="s">
        <v>47</v>
      </c>
      <c r="L62" t="s">
        <v>48</v>
      </c>
      <c r="M62" t="s">
        <v>49</v>
      </c>
      <c r="N62" t="s">
        <v>36</v>
      </c>
      <c r="O62" s="3">
        <v>33.200000000000003</v>
      </c>
      <c r="P62">
        <v>1</v>
      </c>
      <c r="Q62" s="4">
        <v>0.05</v>
      </c>
      <c r="R62" s="3">
        <v>31.540000000000003</v>
      </c>
      <c r="S62" s="3">
        <v>13.99</v>
      </c>
      <c r="T62" s="3">
        <v>13.99</v>
      </c>
      <c r="U62" s="3">
        <v>17.550000000000004</v>
      </c>
      <c r="V62" s="5">
        <v>0.55643627140139518</v>
      </c>
      <c r="W62">
        <v>1</v>
      </c>
      <c r="X62" t="s">
        <v>37</v>
      </c>
      <c r="Y62" s="6">
        <v>5</v>
      </c>
    </row>
    <row r="63" spans="1:25">
      <c r="A63" t="s">
        <v>208</v>
      </c>
      <c r="B63" s="2">
        <v>45009</v>
      </c>
      <c r="C63">
        <v>2023</v>
      </c>
      <c r="D63" t="s">
        <v>26</v>
      </c>
      <c r="E63" t="s">
        <v>163</v>
      </c>
      <c r="F63" t="s">
        <v>65</v>
      </c>
      <c r="G63" t="s">
        <v>76</v>
      </c>
      <c r="H63" t="s">
        <v>77</v>
      </c>
      <c r="I63" t="s">
        <v>78</v>
      </c>
      <c r="J63" t="s">
        <v>209</v>
      </c>
      <c r="K63" t="s">
        <v>61</v>
      </c>
      <c r="L63" t="s">
        <v>80</v>
      </c>
      <c r="M63" t="s">
        <v>81</v>
      </c>
      <c r="N63" t="s">
        <v>44</v>
      </c>
      <c r="O63" s="3">
        <v>1005.87</v>
      </c>
      <c r="P63">
        <v>4</v>
      </c>
      <c r="Q63" s="4">
        <v>0.1</v>
      </c>
      <c r="R63" s="3">
        <v>3621.1320000000001</v>
      </c>
      <c r="S63" s="3">
        <v>674.46</v>
      </c>
      <c r="T63" s="3">
        <v>2697.84</v>
      </c>
      <c r="U63" s="3">
        <v>923.29199999999992</v>
      </c>
      <c r="V63" s="5">
        <v>0.25497330668973123</v>
      </c>
      <c r="W63">
        <v>3</v>
      </c>
      <c r="X63" t="s">
        <v>37</v>
      </c>
      <c r="Y63" s="6">
        <v>5</v>
      </c>
    </row>
    <row r="64" spans="1:25">
      <c r="A64" t="s">
        <v>210</v>
      </c>
      <c r="B64" s="2">
        <v>45009</v>
      </c>
      <c r="C64">
        <v>2023</v>
      </c>
      <c r="D64" t="s">
        <v>26</v>
      </c>
      <c r="E64" t="s">
        <v>163</v>
      </c>
      <c r="F64" t="s">
        <v>39</v>
      </c>
      <c r="G64" t="s">
        <v>91</v>
      </c>
      <c r="H64" t="s">
        <v>92</v>
      </c>
      <c r="I64" t="s">
        <v>78</v>
      </c>
      <c r="J64" t="s">
        <v>211</v>
      </c>
      <c r="K64" t="s">
        <v>33</v>
      </c>
      <c r="L64" t="s">
        <v>73</v>
      </c>
      <c r="M64" t="s">
        <v>74</v>
      </c>
      <c r="N64" t="s">
        <v>36</v>
      </c>
      <c r="O64" s="3">
        <v>728.52</v>
      </c>
      <c r="P64">
        <v>2</v>
      </c>
      <c r="Q64" s="4">
        <v>0.1</v>
      </c>
      <c r="R64" s="3">
        <v>1311.336</v>
      </c>
      <c r="S64" s="3">
        <v>432.59</v>
      </c>
      <c r="T64" s="3">
        <v>865.18</v>
      </c>
      <c r="U64" s="3">
        <v>446.15600000000006</v>
      </c>
      <c r="V64" s="5">
        <v>0.34023011646137991</v>
      </c>
      <c r="W64">
        <v>4</v>
      </c>
      <c r="X64" t="s">
        <v>37</v>
      </c>
      <c r="Y64" s="6">
        <v>5</v>
      </c>
    </row>
    <row r="65" spans="1:25">
      <c r="A65" t="s">
        <v>212</v>
      </c>
      <c r="B65" s="2">
        <v>45010</v>
      </c>
      <c r="C65">
        <v>2023</v>
      </c>
      <c r="D65" t="s">
        <v>26</v>
      </c>
      <c r="E65" t="s">
        <v>163</v>
      </c>
      <c r="F65" t="s">
        <v>65</v>
      </c>
      <c r="G65" t="s">
        <v>76</v>
      </c>
      <c r="H65" t="s">
        <v>126</v>
      </c>
      <c r="I65" t="s">
        <v>78</v>
      </c>
      <c r="J65" t="s">
        <v>213</v>
      </c>
      <c r="K65" t="s">
        <v>33</v>
      </c>
      <c r="L65" t="s">
        <v>34</v>
      </c>
      <c r="M65" t="s">
        <v>35</v>
      </c>
      <c r="N65" t="s">
        <v>44</v>
      </c>
      <c r="O65" s="3">
        <v>184.86</v>
      </c>
      <c r="P65">
        <v>3</v>
      </c>
      <c r="Q65" s="4">
        <v>0.15</v>
      </c>
      <c r="R65" s="3">
        <v>471.39300000000003</v>
      </c>
      <c r="S65" s="3">
        <v>89.73</v>
      </c>
      <c r="T65" s="3">
        <v>269.19</v>
      </c>
      <c r="U65" s="3">
        <v>202.20300000000003</v>
      </c>
      <c r="V65" s="5">
        <v>0.42894782060828229</v>
      </c>
      <c r="W65">
        <v>7</v>
      </c>
      <c r="X65" t="s">
        <v>37</v>
      </c>
      <c r="Y65" s="6">
        <v>4</v>
      </c>
    </row>
    <row r="66" spans="1:25">
      <c r="A66" t="s">
        <v>214</v>
      </c>
      <c r="B66" s="2">
        <v>45011</v>
      </c>
      <c r="C66">
        <v>2023</v>
      </c>
      <c r="D66" t="s">
        <v>26</v>
      </c>
      <c r="E66" t="s">
        <v>163</v>
      </c>
      <c r="F66" t="s">
        <v>28</v>
      </c>
      <c r="G66" t="s">
        <v>29</v>
      </c>
      <c r="H66" t="s">
        <v>60</v>
      </c>
      <c r="I66" t="s">
        <v>78</v>
      </c>
      <c r="J66" t="s">
        <v>215</v>
      </c>
      <c r="K66" t="s">
        <v>33</v>
      </c>
      <c r="L66" t="s">
        <v>73</v>
      </c>
      <c r="M66" t="s">
        <v>138</v>
      </c>
      <c r="N66" t="s">
        <v>36</v>
      </c>
      <c r="O66" s="3">
        <v>335.43</v>
      </c>
      <c r="P66">
        <v>4</v>
      </c>
      <c r="Q66" s="4">
        <v>0</v>
      </c>
      <c r="R66" s="3">
        <v>1341.72</v>
      </c>
      <c r="S66" s="3">
        <v>177.4</v>
      </c>
      <c r="T66" s="3">
        <v>709.6</v>
      </c>
      <c r="U66" s="3">
        <v>632.12</v>
      </c>
      <c r="V66" s="5">
        <v>0.47112661360045316</v>
      </c>
      <c r="W66">
        <v>7</v>
      </c>
      <c r="X66" t="s">
        <v>37</v>
      </c>
      <c r="Y66" s="6">
        <v>4</v>
      </c>
    </row>
    <row r="67" spans="1:25">
      <c r="A67" t="s">
        <v>216</v>
      </c>
      <c r="B67" s="2">
        <v>45011</v>
      </c>
      <c r="C67">
        <v>2023</v>
      </c>
      <c r="D67" t="s">
        <v>26</v>
      </c>
      <c r="E67" t="s">
        <v>163</v>
      </c>
      <c r="F67" t="s">
        <v>65</v>
      </c>
      <c r="G67" t="s">
        <v>76</v>
      </c>
      <c r="H67" t="s">
        <v>77</v>
      </c>
      <c r="I67" t="s">
        <v>78</v>
      </c>
      <c r="J67" t="s">
        <v>217</v>
      </c>
      <c r="K67" t="s">
        <v>33</v>
      </c>
      <c r="L67" t="s">
        <v>73</v>
      </c>
      <c r="M67" t="s">
        <v>138</v>
      </c>
      <c r="N67" t="s">
        <v>36</v>
      </c>
      <c r="O67" s="3">
        <v>336.59</v>
      </c>
      <c r="P67">
        <v>5</v>
      </c>
      <c r="Q67" s="4">
        <v>0</v>
      </c>
      <c r="R67" s="3">
        <v>1682.9499999999998</v>
      </c>
      <c r="S67" s="3">
        <v>175.07</v>
      </c>
      <c r="T67" s="3">
        <v>875.34999999999991</v>
      </c>
      <c r="U67" s="3">
        <v>807.59999999999991</v>
      </c>
      <c r="V67" s="5">
        <v>0.47987165394099646</v>
      </c>
      <c r="W67">
        <v>6</v>
      </c>
      <c r="X67" t="s">
        <v>37</v>
      </c>
      <c r="Y67" s="6">
        <v>4</v>
      </c>
    </row>
    <row r="68" spans="1:25">
      <c r="A68" t="s">
        <v>218</v>
      </c>
      <c r="B68" s="2">
        <v>45012</v>
      </c>
      <c r="C68">
        <v>2023</v>
      </c>
      <c r="D68" t="s">
        <v>26</v>
      </c>
      <c r="E68" t="s">
        <v>163</v>
      </c>
      <c r="F68" t="s">
        <v>51</v>
      </c>
      <c r="G68" t="s">
        <v>52</v>
      </c>
      <c r="H68" t="s">
        <v>102</v>
      </c>
      <c r="I68" t="s">
        <v>42</v>
      </c>
      <c r="J68" t="s">
        <v>144</v>
      </c>
      <c r="K68" t="s">
        <v>33</v>
      </c>
      <c r="L68" t="s">
        <v>73</v>
      </c>
      <c r="M68" t="s">
        <v>74</v>
      </c>
      <c r="N68" t="s">
        <v>36</v>
      </c>
      <c r="O68" s="3">
        <v>672.43</v>
      </c>
      <c r="P68">
        <v>3</v>
      </c>
      <c r="Q68" s="4">
        <v>0.2</v>
      </c>
      <c r="R68" s="3">
        <v>1613.8320000000001</v>
      </c>
      <c r="S68" s="3">
        <v>410.89</v>
      </c>
      <c r="T68" s="3">
        <v>1232.67</v>
      </c>
      <c r="U68" s="3">
        <v>381.16200000000003</v>
      </c>
      <c r="V68" s="5">
        <v>0.23618443555463023</v>
      </c>
      <c r="W68">
        <v>8</v>
      </c>
      <c r="X68" t="s">
        <v>37</v>
      </c>
      <c r="Y68" s="6">
        <v>3</v>
      </c>
    </row>
    <row r="69" spans="1:25">
      <c r="A69" t="s">
        <v>219</v>
      </c>
      <c r="B69" s="2">
        <v>45012</v>
      </c>
      <c r="C69">
        <v>2023</v>
      </c>
      <c r="D69" t="s">
        <v>26</v>
      </c>
      <c r="E69" t="s">
        <v>163</v>
      </c>
      <c r="F69" t="s">
        <v>28</v>
      </c>
      <c r="G69" t="s">
        <v>29</v>
      </c>
      <c r="H69" t="s">
        <v>30</v>
      </c>
      <c r="I69" t="s">
        <v>71</v>
      </c>
      <c r="J69" t="s">
        <v>220</v>
      </c>
      <c r="K69" t="s">
        <v>33</v>
      </c>
      <c r="L69" t="s">
        <v>73</v>
      </c>
      <c r="M69" t="s">
        <v>74</v>
      </c>
      <c r="N69" t="s">
        <v>44</v>
      </c>
      <c r="O69" s="3">
        <v>722.2</v>
      </c>
      <c r="P69">
        <v>2</v>
      </c>
      <c r="Q69" s="4">
        <v>0.15</v>
      </c>
      <c r="R69" s="3">
        <v>1227.74</v>
      </c>
      <c r="S69" s="3">
        <v>430.69</v>
      </c>
      <c r="T69" s="3">
        <v>861.38</v>
      </c>
      <c r="U69" s="3">
        <v>366.36</v>
      </c>
      <c r="V69" s="5">
        <v>0.29840194177920409</v>
      </c>
      <c r="W69">
        <v>5</v>
      </c>
      <c r="X69" t="s">
        <v>37</v>
      </c>
      <c r="Y69" s="6">
        <v>4</v>
      </c>
    </row>
    <row r="70" spans="1:25">
      <c r="A70" t="s">
        <v>221</v>
      </c>
      <c r="B70" s="2">
        <v>45014</v>
      </c>
      <c r="C70">
        <v>2023</v>
      </c>
      <c r="D70" t="s">
        <v>26</v>
      </c>
      <c r="E70" t="s">
        <v>163</v>
      </c>
      <c r="F70" t="s">
        <v>51</v>
      </c>
      <c r="G70" t="s">
        <v>52</v>
      </c>
      <c r="H70" t="s">
        <v>102</v>
      </c>
      <c r="I70" t="s">
        <v>71</v>
      </c>
      <c r="J70" t="s">
        <v>167</v>
      </c>
      <c r="K70" t="s">
        <v>47</v>
      </c>
      <c r="L70" t="s">
        <v>48</v>
      </c>
      <c r="M70" t="s">
        <v>104</v>
      </c>
      <c r="N70" t="s">
        <v>44</v>
      </c>
      <c r="O70" s="3">
        <v>56.05</v>
      </c>
      <c r="P70">
        <v>9</v>
      </c>
      <c r="Q70" s="4">
        <v>0</v>
      </c>
      <c r="R70" s="3">
        <v>504.45</v>
      </c>
      <c r="S70" s="3">
        <v>30.5</v>
      </c>
      <c r="T70" s="3">
        <v>274.5</v>
      </c>
      <c r="U70" s="3">
        <v>229.95</v>
      </c>
      <c r="V70" s="5">
        <v>0.455842997323818</v>
      </c>
      <c r="W70">
        <v>6</v>
      </c>
      <c r="X70" t="s">
        <v>37</v>
      </c>
      <c r="Y70" s="6">
        <v>4</v>
      </c>
    </row>
    <row r="71" spans="1:25">
      <c r="A71" t="s">
        <v>222</v>
      </c>
      <c r="B71" s="2">
        <v>45015</v>
      </c>
      <c r="C71">
        <v>2023</v>
      </c>
      <c r="D71" t="s">
        <v>26</v>
      </c>
      <c r="E71" t="s">
        <v>163</v>
      </c>
      <c r="F71" t="s">
        <v>65</v>
      </c>
      <c r="G71" t="s">
        <v>76</v>
      </c>
      <c r="H71" t="s">
        <v>77</v>
      </c>
      <c r="I71" t="s">
        <v>42</v>
      </c>
      <c r="J71" t="s">
        <v>223</v>
      </c>
      <c r="K71" t="s">
        <v>33</v>
      </c>
      <c r="L71" t="s">
        <v>88</v>
      </c>
      <c r="M71" t="s">
        <v>100</v>
      </c>
      <c r="N71" t="s">
        <v>36</v>
      </c>
      <c r="O71" s="3">
        <v>295.67</v>
      </c>
      <c r="P71">
        <v>1</v>
      </c>
      <c r="Q71" s="4">
        <v>0.15</v>
      </c>
      <c r="R71" s="3">
        <v>251.31950000000001</v>
      </c>
      <c r="S71" s="3">
        <v>152.71</v>
      </c>
      <c r="T71" s="3">
        <v>152.71</v>
      </c>
      <c r="U71" s="3">
        <v>98.609499999999997</v>
      </c>
      <c r="V71" s="5">
        <v>0.39236708651736135</v>
      </c>
      <c r="W71">
        <v>2</v>
      </c>
      <c r="X71" t="s">
        <v>37</v>
      </c>
      <c r="Y71" s="6">
        <v>5</v>
      </c>
    </row>
    <row r="72" spans="1:25">
      <c r="A72" t="s">
        <v>224</v>
      </c>
      <c r="B72" s="2">
        <v>45016</v>
      </c>
      <c r="C72">
        <v>2023</v>
      </c>
      <c r="D72" t="s">
        <v>26</v>
      </c>
      <c r="E72" t="s">
        <v>163</v>
      </c>
      <c r="F72" t="s">
        <v>51</v>
      </c>
      <c r="G72" t="s">
        <v>52</v>
      </c>
      <c r="H72" t="s">
        <v>102</v>
      </c>
      <c r="I72" t="s">
        <v>42</v>
      </c>
      <c r="J72" t="s">
        <v>225</v>
      </c>
      <c r="K72" t="s">
        <v>47</v>
      </c>
      <c r="L72" t="s">
        <v>48</v>
      </c>
      <c r="M72" t="s">
        <v>49</v>
      </c>
      <c r="N72" t="s">
        <v>44</v>
      </c>
      <c r="O72" s="3">
        <v>33.58</v>
      </c>
      <c r="P72">
        <v>3</v>
      </c>
      <c r="Q72" s="4">
        <v>0.2</v>
      </c>
      <c r="R72" s="3">
        <v>80.591999999999999</v>
      </c>
      <c r="S72" s="3">
        <v>14.12</v>
      </c>
      <c r="T72" s="3">
        <v>42.36</v>
      </c>
      <c r="U72" s="3">
        <v>38.231999999999999</v>
      </c>
      <c r="V72" s="5">
        <v>0.47438951756998216</v>
      </c>
      <c r="W72">
        <v>9</v>
      </c>
      <c r="X72" t="s">
        <v>37</v>
      </c>
      <c r="Y72" s="6">
        <v>4</v>
      </c>
    </row>
    <row r="73" spans="1:25">
      <c r="A73" t="s">
        <v>226</v>
      </c>
      <c r="B73" s="2">
        <v>45016</v>
      </c>
      <c r="C73">
        <v>2023</v>
      </c>
      <c r="D73" t="s">
        <v>26</v>
      </c>
      <c r="E73" t="s">
        <v>163</v>
      </c>
      <c r="F73" t="s">
        <v>65</v>
      </c>
      <c r="G73" t="s">
        <v>66</v>
      </c>
      <c r="H73" t="s">
        <v>67</v>
      </c>
      <c r="I73" t="s">
        <v>78</v>
      </c>
      <c r="J73" t="s">
        <v>227</v>
      </c>
      <c r="K73" t="s">
        <v>47</v>
      </c>
      <c r="L73" t="s">
        <v>48</v>
      </c>
      <c r="M73" t="s">
        <v>49</v>
      </c>
      <c r="N73" t="s">
        <v>44</v>
      </c>
      <c r="O73" s="3">
        <v>31.24</v>
      </c>
      <c r="P73">
        <v>4</v>
      </c>
      <c r="Q73" s="4">
        <v>0.05</v>
      </c>
      <c r="R73" s="3">
        <v>118.71199999999999</v>
      </c>
      <c r="S73" s="3">
        <v>13.6</v>
      </c>
      <c r="T73" s="3">
        <v>54.4</v>
      </c>
      <c r="U73" s="3">
        <v>64.311999999999983</v>
      </c>
      <c r="V73" s="5">
        <v>0.54174809623289966</v>
      </c>
      <c r="W73">
        <v>4</v>
      </c>
      <c r="X73" t="s">
        <v>37</v>
      </c>
      <c r="Y73" s="6">
        <v>5</v>
      </c>
    </row>
    <row r="74" spans="1:25">
      <c r="A74" t="s">
        <v>228</v>
      </c>
      <c r="B74" s="2">
        <v>45017</v>
      </c>
      <c r="C74">
        <v>2023</v>
      </c>
      <c r="D74" t="s">
        <v>229</v>
      </c>
      <c r="E74" t="s">
        <v>230</v>
      </c>
      <c r="F74" t="s">
        <v>51</v>
      </c>
      <c r="G74" t="s">
        <v>52</v>
      </c>
      <c r="H74" t="s">
        <v>102</v>
      </c>
      <c r="I74" t="s">
        <v>31</v>
      </c>
      <c r="J74" t="s">
        <v>231</v>
      </c>
      <c r="K74" t="s">
        <v>61</v>
      </c>
      <c r="L74" t="s">
        <v>62</v>
      </c>
      <c r="M74" t="s">
        <v>63</v>
      </c>
      <c r="N74" t="s">
        <v>44</v>
      </c>
      <c r="O74" s="3">
        <v>91.64</v>
      </c>
      <c r="P74">
        <v>1</v>
      </c>
      <c r="Q74" s="4">
        <v>0.15</v>
      </c>
      <c r="R74" s="3">
        <v>77.894000000000005</v>
      </c>
      <c r="S74" s="3">
        <v>44.77</v>
      </c>
      <c r="T74" s="3">
        <v>44.77</v>
      </c>
      <c r="U74" s="3">
        <v>33.124000000000002</v>
      </c>
      <c r="V74" s="5">
        <v>0.42524456312424574</v>
      </c>
      <c r="W74">
        <v>4</v>
      </c>
      <c r="X74" t="s">
        <v>37</v>
      </c>
      <c r="Y74" s="6">
        <v>5</v>
      </c>
    </row>
    <row r="75" spans="1:25">
      <c r="A75" t="s">
        <v>232</v>
      </c>
      <c r="B75" s="2">
        <v>45019</v>
      </c>
      <c r="C75">
        <v>2023</v>
      </c>
      <c r="D75" t="s">
        <v>229</v>
      </c>
      <c r="E75" t="s">
        <v>230</v>
      </c>
      <c r="F75" t="s">
        <v>39</v>
      </c>
      <c r="G75" t="s">
        <v>111</v>
      </c>
      <c r="H75" t="s">
        <v>112</v>
      </c>
      <c r="I75" t="s">
        <v>31</v>
      </c>
      <c r="J75" t="s">
        <v>233</v>
      </c>
      <c r="K75" t="s">
        <v>61</v>
      </c>
      <c r="L75" t="s">
        <v>80</v>
      </c>
      <c r="M75" t="s">
        <v>187</v>
      </c>
      <c r="N75" t="s">
        <v>57</v>
      </c>
      <c r="O75" s="3">
        <v>1351.63</v>
      </c>
      <c r="P75">
        <v>2</v>
      </c>
      <c r="Q75" s="4">
        <v>0.15</v>
      </c>
      <c r="R75" s="3">
        <v>2297.7710000000002</v>
      </c>
      <c r="S75" s="3">
        <v>854.93</v>
      </c>
      <c r="T75" s="3">
        <v>1709.86</v>
      </c>
      <c r="U75" s="3">
        <v>587.91100000000029</v>
      </c>
      <c r="V75" s="5">
        <v>0.25586144137078942</v>
      </c>
      <c r="W75">
        <v>2</v>
      </c>
      <c r="X75" t="s">
        <v>37</v>
      </c>
      <c r="Y75" s="6">
        <v>5</v>
      </c>
    </row>
    <row r="76" spans="1:25">
      <c r="A76" t="s">
        <v>234</v>
      </c>
      <c r="B76" s="2">
        <v>45019</v>
      </c>
      <c r="C76">
        <v>2023</v>
      </c>
      <c r="D76" t="s">
        <v>229</v>
      </c>
      <c r="E76" t="s">
        <v>230</v>
      </c>
      <c r="F76" t="s">
        <v>51</v>
      </c>
      <c r="G76" t="s">
        <v>52</v>
      </c>
      <c r="H76" t="s">
        <v>53</v>
      </c>
      <c r="I76" t="s">
        <v>42</v>
      </c>
      <c r="J76" t="s">
        <v>235</v>
      </c>
      <c r="K76" t="s">
        <v>33</v>
      </c>
      <c r="L76" t="s">
        <v>88</v>
      </c>
      <c r="M76" t="s">
        <v>89</v>
      </c>
      <c r="N76" t="s">
        <v>36</v>
      </c>
      <c r="O76" s="3">
        <v>249.71</v>
      </c>
      <c r="P76">
        <v>5</v>
      </c>
      <c r="Q76" s="4">
        <v>0</v>
      </c>
      <c r="R76" s="3">
        <v>1248.55</v>
      </c>
      <c r="S76" s="3">
        <v>128.97</v>
      </c>
      <c r="T76" s="3">
        <v>644.85</v>
      </c>
      <c r="U76" s="3">
        <v>603.69999999999993</v>
      </c>
      <c r="V76" s="5">
        <v>0.48352088422570177</v>
      </c>
      <c r="W76">
        <v>1</v>
      </c>
      <c r="X76" t="s">
        <v>37</v>
      </c>
      <c r="Y76" s="6">
        <v>5</v>
      </c>
    </row>
    <row r="77" spans="1:25">
      <c r="A77" t="s">
        <v>236</v>
      </c>
      <c r="B77" s="2">
        <v>45019</v>
      </c>
      <c r="C77">
        <v>2023</v>
      </c>
      <c r="D77" t="s">
        <v>229</v>
      </c>
      <c r="E77" t="s">
        <v>230</v>
      </c>
      <c r="F77" t="s">
        <v>39</v>
      </c>
      <c r="G77" t="s">
        <v>40</v>
      </c>
      <c r="H77" t="s">
        <v>41</v>
      </c>
      <c r="I77" t="s">
        <v>71</v>
      </c>
      <c r="J77" t="s">
        <v>237</v>
      </c>
      <c r="K77" t="s">
        <v>47</v>
      </c>
      <c r="L77" t="s">
        <v>48</v>
      </c>
      <c r="M77" t="s">
        <v>49</v>
      </c>
      <c r="N77" t="s">
        <v>44</v>
      </c>
      <c r="O77" s="3">
        <v>30.98</v>
      </c>
      <c r="P77">
        <v>5</v>
      </c>
      <c r="Q77" s="4">
        <v>0.15</v>
      </c>
      <c r="R77" s="3">
        <v>131.66499999999999</v>
      </c>
      <c r="S77" s="3">
        <v>14.13</v>
      </c>
      <c r="T77" s="3">
        <v>70.650000000000006</v>
      </c>
      <c r="U77" s="3">
        <v>61.014999999999986</v>
      </c>
      <c r="V77" s="5">
        <v>0.46341092925226895</v>
      </c>
      <c r="W77">
        <v>4</v>
      </c>
      <c r="X77" t="s">
        <v>37</v>
      </c>
      <c r="Y77" s="6">
        <v>4</v>
      </c>
    </row>
    <row r="78" spans="1:25">
      <c r="A78" t="s">
        <v>238</v>
      </c>
      <c r="B78" s="2">
        <v>45020</v>
      </c>
      <c r="C78">
        <v>2023</v>
      </c>
      <c r="D78" t="s">
        <v>229</v>
      </c>
      <c r="E78" t="s">
        <v>230</v>
      </c>
      <c r="F78" t="s">
        <v>28</v>
      </c>
      <c r="G78" t="s">
        <v>29</v>
      </c>
      <c r="H78" t="s">
        <v>30</v>
      </c>
      <c r="I78" t="s">
        <v>78</v>
      </c>
      <c r="J78" t="s">
        <v>239</v>
      </c>
      <c r="K78" t="s">
        <v>61</v>
      </c>
      <c r="L78" t="s">
        <v>84</v>
      </c>
      <c r="M78" t="s">
        <v>85</v>
      </c>
      <c r="N78" t="s">
        <v>44</v>
      </c>
      <c r="O78" s="3">
        <v>155.56</v>
      </c>
      <c r="P78">
        <v>1</v>
      </c>
      <c r="Q78" s="4">
        <v>0.2</v>
      </c>
      <c r="R78" s="3">
        <v>124.44800000000001</v>
      </c>
      <c r="S78" s="3">
        <v>74.11</v>
      </c>
      <c r="T78" s="3">
        <v>74.11</v>
      </c>
      <c r="U78" s="3">
        <v>50.338000000000008</v>
      </c>
      <c r="V78" s="5">
        <v>0.40449022885060432</v>
      </c>
      <c r="W78">
        <v>4</v>
      </c>
      <c r="X78" t="s">
        <v>37</v>
      </c>
      <c r="Y78" s="6">
        <v>4</v>
      </c>
    </row>
    <row r="79" spans="1:25">
      <c r="A79" t="s">
        <v>240</v>
      </c>
      <c r="B79" s="2">
        <v>45020</v>
      </c>
      <c r="C79">
        <v>2023</v>
      </c>
      <c r="D79" t="s">
        <v>229</v>
      </c>
      <c r="E79" t="s">
        <v>230</v>
      </c>
      <c r="F79" t="s">
        <v>51</v>
      </c>
      <c r="G79" t="s">
        <v>97</v>
      </c>
      <c r="H79" t="s">
        <v>98</v>
      </c>
      <c r="I79" t="s">
        <v>78</v>
      </c>
      <c r="J79" t="s">
        <v>113</v>
      </c>
      <c r="K79" t="s">
        <v>61</v>
      </c>
      <c r="L79" t="s">
        <v>80</v>
      </c>
      <c r="M79" t="s">
        <v>81</v>
      </c>
      <c r="N79" t="s">
        <v>36</v>
      </c>
      <c r="O79" s="3">
        <v>990.22</v>
      </c>
      <c r="P79">
        <v>1</v>
      </c>
      <c r="Q79" s="4">
        <v>0</v>
      </c>
      <c r="R79" s="3">
        <v>990.22</v>
      </c>
      <c r="S79" s="3">
        <v>648.92999999999995</v>
      </c>
      <c r="T79" s="3">
        <v>648.92999999999995</v>
      </c>
      <c r="U79" s="3">
        <v>341.29000000000008</v>
      </c>
      <c r="V79" s="5">
        <v>0.34466078245238441</v>
      </c>
      <c r="W79">
        <v>9</v>
      </c>
      <c r="X79" t="s">
        <v>37</v>
      </c>
      <c r="Y79" s="6">
        <v>4</v>
      </c>
    </row>
    <row r="80" spans="1:25">
      <c r="A80" t="s">
        <v>241</v>
      </c>
      <c r="B80" s="2">
        <v>45021</v>
      </c>
      <c r="C80">
        <v>2023</v>
      </c>
      <c r="D80" t="s">
        <v>229</v>
      </c>
      <c r="E80" t="s">
        <v>230</v>
      </c>
      <c r="F80" t="s">
        <v>65</v>
      </c>
      <c r="G80" t="s">
        <v>66</v>
      </c>
      <c r="H80" t="s">
        <v>67</v>
      </c>
      <c r="I80" t="s">
        <v>42</v>
      </c>
      <c r="J80" t="s">
        <v>185</v>
      </c>
      <c r="K80" t="s">
        <v>33</v>
      </c>
      <c r="L80" t="s">
        <v>34</v>
      </c>
      <c r="M80" t="s">
        <v>35</v>
      </c>
      <c r="N80" t="s">
        <v>36</v>
      </c>
      <c r="O80" s="3">
        <v>174</v>
      </c>
      <c r="P80">
        <v>1</v>
      </c>
      <c r="Q80" s="4">
        <v>0</v>
      </c>
      <c r="R80" s="3">
        <v>174</v>
      </c>
      <c r="S80" s="3">
        <v>93.67</v>
      </c>
      <c r="T80" s="3">
        <v>93.67</v>
      </c>
      <c r="U80" s="3">
        <v>80.33</v>
      </c>
      <c r="V80" s="5">
        <v>0.46166666666666667</v>
      </c>
      <c r="W80">
        <v>4</v>
      </c>
      <c r="X80" t="s">
        <v>37</v>
      </c>
      <c r="Y80" s="6">
        <v>5</v>
      </c>
    </row>
    <row r="81" spans="1:25">
      <c r="A81" t="s">
        <v>242</v>
      </c>
      <c r="B81" s="2">
        <v>45021</v>
      </c>
      <c r="C81">
        <v>2023</v>
      </c>
      <c r="D81" t="s">
        <v>229</v>
      </c>
      <c r="E81" t="s">
        <v>230</v>
      </c>
      <c r="F81" t="s">
        <v>28</v>
      </c>
      <c r="G81" t="s">
        <v>29</v>
      </c>
      <c r="H81" t="s">
        <v>30</v>
      </c>
      <c r="I81" t="s">
        <v>31</v>
      </c>
      <c r="J81" t="s">
        <v>243</v>
      </c>
      <c r="K81" t="s">
        <v>61</v>
      </c>
      <c r="L81" t="s">
        <v>80</v>
      </c>
      <c r="M81" t="s">
        <v>81</v>
      </c>
      <c r="N81" t="s">
        <v>44</v>
      </c>
      <c r="O81" s="3">
        <v>1016.12</v>
      </c>
      <c r="P81">
        <v>5</v>
      </c>
      <c r="Q81" s="4">
        <v>0</v>
      </c>
      <c r="R81" s="3">
        <v>5080.6000000000004</v>
      </c>
      <c r="S81" s="3">
        <v>674.08</v>
      </c>
      <c r="T81" s="3">
        <v>3370.4</v>
      </c>
      <c r="U81" s="3">
        <v>1710.2000000000003</v>
      </c>
      <c r="V81" s="5">
        <v>0.3366137857733339</v>
      </c>
      <c r="W81">
        <v>5</v>
      </c>
      <c r="X81" t="s">
        <v>37</v>
      </c>
      <c r="Y81" s="6">
        <v>4</v>
      </c>
    </row>
    <row r="82" spans="1:25">
      <c r="A82" t="s">
        <v>244</v>
      </c>
      <c r="B82" s="2">
        <v>45021</v>
      </c>
      <c r="C82">
        <v>2023</v>
      </c>
      <c r="D82" t="s">
        <v>229</v>
      </c>
      <c r="E82" t="s">
        <v>230</v>
      </c>
      <c r="F82" t="s">
        <v>65</v>
      </c>
      <c r="G82" t="s">
        <v>66</v>
      </c>
      <c r="H82" t="s">
        <v>67</v>
      </c>
      <c r="I82" t="s">
        <v>31</v>
      </c>
      <c r="J82" t="s">
        <v>223</v>
      </c>
      <c r="K82" t="s">
        <v>61</v>
      </c>
      <c r="L82" t="s">
        <v>84</v>
      </c>
      <c r="M82" t="s">
        <v>85</v>
      </c>
      <c r="N82" t="s">
        <v>36</v>
      </c>
      <c r="O82" s="3">
        <v>155.1</v>
      </c>
      <c r="P82">
        <v>2</v>
      </c>
      <c r="Q82" s="4">
        <v>0</v>
      </c>
      <c r="R82" s="3">
        <v>310.2</v>
      </c>
      <c r="S82" s="3">
        <v>72.150000000000006</v>
      </c>
      <c r="T82" s="3">
        <v>144.30000000000001</v>
      </c>
      <c r="U82" s="3">
        <v>165.89999999999998</v>
      </c>
      <c r="V82" s="5">
        <v>0.53481624758220503</v>
      </c>
      <c r="W82">
        <v>1</v>
      </c>
      <c r="X82" t="s">
        <v>37</v>
      </c>
      <c r="Y82" s="6">
        <v>5</v>
      </c>
    </row>
    <row r="83" spans="1:25">
      <c r="A83" t="s">
        <v>245</v>
      </c>
      <c r="B83" s="2">
        <v>45022</v>
      </c>
      <c r="C83">
        <v>2023</v>
      </c>
      <c r="D83" t="s">
        <v>229</v>
      </c>
      <c r="E83" t="s">
        <v>230</v>
      </c>
      <c r="F83" t="s">
        <v>28</v>
      </c>
      <c r="G83" t="s">
        <v>29</v>
      </c>
      <c r="H83" t="s">
        <v>60</v>
      </c>
      <c r="I83" t="s">
        <v>71</v>
      </c>
      <c r="J83" t="s">
        <v>246</v>
      </c>
      <c r="K83" t="s">
        <v>61</v>
      </c>
      <c r="L83" t="s">
        <v>80</v>
      </c>
      <c r="M83" t="s">
        <v>187</v>
      </c>
      <c r="N83" t="s">
        <v>44</v>
      </c>
      <c r="O83" s="3">
        <v>1288.79</v>
      </c>
      <c r="P83">
        <v>3</v>
      </c>
      <c r="Q83" s="4">
        <v>0.1</v>
      </c>
      <c r="R83" s="3">
        <v>3479.7330000000002</v>
      </c>
      <c r="S83" s="3">
        <v>865.32</v>
      </c>
      <c r="T83" s="3">
        <v>2595.96</v>
      </c>
      <c r="U83" s="3">
        <v>883.77300000000014</v>
      </c>
      <c r="V83" s="5">
        <v>0.25397724480585149</v>
      </c>
      <c r="W83">
        <v>3</v>
      </c>
      <c r="X83" t="s">
        <v>37</v>
      </c>
      <c r="Y83" s="6">
        <v>4</v>
      </c>
    </row>
    <row r="84" spans="1:25">
      <c r="A84" t="s">
        <v>247</v>
      </c>
      <c r="B84" s="2">
        <v>45022</v>
      </c>
      <c r="C84">
        <v>2023</v>
      </c>
      <c r="D84" t="s">
        <v>229</v>
      </c>
      <c r="E84" t="s">
        <v>230</v>
      </c>
      <c r="F84" t="s">
        <v>51</v>
      </c>
      <c r="G84" t="s">
        <v>52</v>
      </c>
      <c r="H84" t="s">
        <v>53</v>
      </c>
      <c r="I84" t="s">
        <v>78</v>
      </c>
      <c r="J84" t="s">
        <v>248</v>
      </c>
      <c r="K84" t="s">
        <v>33</v>
      </c>
      <c r="L84" t="s">
        <v>34</v>
      </c>
      <c r="M84" t="s">
        <v>35</v>
      </c>
      <c r="N84" t="s">
        <v>57</v>
      </c>
      <c r="O84" s="3">
        <v>183.59</v>
      </c>
      <c r="P84">
        <v>4</v>
      </c>
      <c r="Q84" s="4">
        <v>0.2</v>
      </c>
      <c r="R84" s="3">
        <v>587.48800000000006</v>
      </c>
      <c r="S84" s="3">
        <v>92.38</v>
      </c>
      <c r="T84" s="3">
        <v>369.52</v>
      </c>
      <c r="U84" s="3">
        <v>217.96800000000007</v>
      </c>
      <c r="V84" s="5">
        <v>0.37101693992047508</v>
      </c>
      <c r="W84">
        <v>3</v>
      </c>
      <c r="X84" t="s">
        <v>37</v>
      </c>
      <c r="Y84" s="6">
        <v>5</v>
      </c>
    </row>
    <row r="85" spans="1:25">
      <c r="A85" t="s">
        <v>249</v>
      </c>
      <c r="B85" s="2">
        <v>45024</v>
      </c>
      <c r="C85">
        <v>2023</v>
      </c>
      <c r="D85" t="s">
        <v>229</v>
      </c>
      <c r="E85" t="s">
        <v>230</v>
      </c>
      <c r="F85" t="s">
        <v>65</v>
      </c>
      <c r="G85" t="s">
        <v>76</v>
      </c>
      <c r="H85" t="s">
        <v>126</v>
      </c>
      <c r="I85" t="s">
        <v>78</v>
      </c>
      <c r="J85" t="s">
        <v>250</v>
      </c>
      <c r="K85" t="s">
        <v>61</v>
      </c>
      <c r="L85" t="s">
        <v>80</v>
      </c>
      <c r="M85" t="s">
        <v>81</v>
      </c>
      <c r="N85" t="s">
        <v>57</v>
      </c>
      <c r="O85" s="3">
        <v>988.25</v>
      </c>
      <c r="P85">
        <v>5</v>
      </c>
      <c r="Q85" s="4">
        <v>0</v>
      </c>
      <c r="R85" s="3">
        <v>4941.25</v>
      </c>
      <c r="S85" s="3">
        <v>659.43</v>
      </c>
      <c r="T85" s="3">
        <v>3297.1499999999996</v>
      </c>
      <c r="U85" s="3">
        <v>1644.1000000000004</v>
      </c>
      <c r="V85" s="5">
        <v>0.33272957247660012</v>
      </c>
      <c r="W85">
        <v>7</v>
      </c>
      <c r="X85" t="s">
        <v>37</v>
      </c>
      <c r="Y85" s="6">
        <v>4</v>
      </c>
    </row>
    <row r="86" spans="1:25">
      <c r="A86" t="s">
        <v>251</v>
      </c>
      <c r="B86" s="2">
        <v>45025</v>
      </c>
      <c r="C86">
        <v>2023</v>
      </c>
      <c r="D86" t="s">
        <v>229</v>
      </c>
      <c r="E86" t="s">
        <v>230</v>
      </c>
      <c r="F86" t="s">
        <v>65</v>
      </c>
      <c r="G86" t="s">
        <v>76</v>
      </c>
      <c r="H86" t="s">
        <v>126</v>
      </c>
      <c r="I86" t="s">
        <v>71</v>
      </c>
      <c r="J86" t="s">
        <v>252</v>
      </c>
      <c r="K86" t="s">
        <v>61</v>
      </c>
      <c r="L86" t="s">
        <v>80</v>
      </c>
      <c r="M86" t="s">
        <v>187</v>
      </c>
      <c r="N86" t="s">
        <v>57</v>
      </c>
      <c r="O86" s="3">
        <v>1316.88</v>
      </c>
      <c r="P86">
        <v>3</v>
      </c>
      <c r="Q86" s="4">
        <v>0.2</v>
      </c>
      <c r="R86" s="3">
        <v>3160.5120000000006</v>
      </c>
      <c r="S86" s="3">
        <v>844.89</v>
      </c>
      <c r="T86" s="3">
        <v>2534.67</v>
      </c>
      <c r="U86" s="3">
        <v>625.84200000000055</v>
      </c>
      <c r="V86" s="5">
        <v>0.19801918170220534</v>
      </c>
      <c r="W86">
        <v>2</v>
      </c>
      <c r="X86" t="s">
        <v>37</v>
      </c>
      <c r="Y86" s="6">
        <v>5</v>
      </c>
    </row>
    <row r="87" spans="1:25">
      <c r="A87" t="s">
        <v>253</v>
      </c>
      <c r="B87" s="2">
        <v>45028</v>
      </c>
      <c r="C87">
        <v>2023</v>
      </c>
      <c r="D87" t="s">
        <v>229</v>
      </c>
      <c r="E87" t="s">
        <v>230</v>
      </c>
      <c r="F87" t="s">
        <v>28</v>
      </c>
      <c r="G87" t="s">
        <v>29</v>
      </c>
      <c r="H87" t="s">
        <v>30</v>
      </c>
      <c r="I87" t="s">
        <v>71</v>
      </c>
      <c r="J87" t="s">
        <v>122</v>
      </c>
      <c r="K87" t="s">
        <v>33</v>
      </c>
      <c r="L87" t="s">
        <v>88</v>
      </c>
      <c r="M87" t="s">
        <v>89</v>
      </c>
      <c r="N87" t="s">
        <v>57</v>
      </c>
      <c r="O87" s="3">
        <v>257.04000000000002</v>
      </c>
      <c r="P87">
        <v>1</v>
      </c>
      <c r="Q87" s="4">
        <v>0</v>
      </c>
      <c r="R87" s="3">
        <v>257.04000000000002</v>
      </c>
      <c r="S87" s="3">
        <v>127.54</v>
      </c>
      <c r="T87" s="3">
        <v>127.54</v>
      </c>
      <c r="U87" s="3">
        <v>129.5</v>
      </c>
      <c r="V87" s="5">
        <v>0.50381263616557725</v>
      </c>
      <c r="W87">
        <v>4</v>
      </c>
      <c r="X87" t="s">
        <v>37</v>
      </c>
      <c r="Y87" s="6">
        <v>5</v>
      </c>
    </row>
    <row r="88" spans="1:25">
      <c r="A88" t="s">
        <v>254</v>
      </c>
      <c r="B88" s="2">
        <v>45030</v>
      </c>
      <c r="C88">
        <v>2023</v>
      </c>
      <c r="D88" t="s">
        <v>229</v>
      </c>
      <c r="E88" t="s">
        <v>230</v>
      </c>
      <c r="F88" t="s">
        <v>39</v>
      </c>
      <c r="G88" t="s">
        <v>111</v>
      </c>
      <c r="H88" t="s">
        <v>112</v>
      </c>
      <c r="I88" t="s">
        <v>31</v>
      </c>
      <c r="J88" t="s">
        <v>107</v>
      </c>
      <c r="K88" t="s">
        <v>33</v>
      </c>
      <c r="L88" t="s">
        <v>88</v>
      </c>
      <c r="M88" t="s">
        <v>100</v>
      </c>
      <c r="N88" t="s">
        <v>44</v>
      </c>
      <c r="O88" s="3">
        <v>288.83999999999997</v>
      </c>
      <c r="P88">
        <v>5</v>
      </c>
      <c r="Q88" s="4">
        <v>0.2</v>
      </c>
      <c r="R88" s="3">
        <v>1155.3599999999999</v>
      </c>
      <c r="S88" s="3">
        <v>155.02000000000001</v>
      </c>
      <c r="T88" s="3">
        <v>775.1</v>
      </c>
      <c r="U88" s="3">
        <v>380.25999999999988</v>
      </c>
      <c r="V88" s="5">
        <v>0.32912685223653226</v>
      </c>
      <c r="W88">
        <v>6</v>
      </c>
      <c r="X88" t="s">
        <v>37</v>
      </c>
      <c r="Y88" s="6">
        <v>4</v>
      </c>
    </row>
    <row r="89" spans="1:25">
      <c r="A89" t="s">
        <v>255</v>
      </c>
      <c r="B89" s="2">
        <v>45030</v>
      </c>
      <c r="C89">
        <v>2023</v>
      </c>
      <c r="D89" t="s">
        <v>229</v>
      </c>
      <c r="E89" t="s">
        <v>230</v>
      </c>
      <c r="F89" t="s">
        <v>51</v>
      </c>
      <c r="G89" t="s">
        <v>52</v>
      </c>
      <c r="H89" t="s">
        <v>102</v>
      </c>
      <c r="I89" t="s">
        <v>31</v>
      </c>
      <c r="J89" t="s">
        <v>256</v>
      </c>
      <c r="K89" t="s">
        <v>61</v>
      </c>
      <c r="L89" t="s">
        <v>62</v>
      </c>
      <c r="M89" t="s">
        <v>195</v>
      </c>
      <c r="N89" t="s">
        <v>36</v>
      </c>
      <c r="O89" s="3">
        <v>72.72</v>
      </c>
      <c r="P89">
        <v>5</v>
      </c>
      <c r="Q89" s="4">
        <v>0</v>
      </c>
      <c r="R89" s="3">
        <v>363.6</v>
      </c>
      <c r="S89" s="3">
        <v>32.81</v>
      </c>
      <c r="T89" s="3">
        <v>164.05</v>
      </c>
      <c r="U89" s="3">
        <v>199.55</v>
      </c>
      <c r="V89" s="5">
        <v>0.54881738173817385</v>
      </c>
      <c r="W89">
        <v>9</v>
      </c>
      <c r="X89" t="s">
        <v>37</v>
      </c>
      <c r="Y89" s="6">
        <v>4</v>
      </c>
    </row>
    <row r="90" spans="1:25">
      <c r="A90" t="s">
        <v>257</v>
      </c>
      <c r="B90" s="2">
        <v>45030</v>
      </c>
      <c r="C90">
        <v>2023</v>
      </c>
      <c r="D90" t="s">
        <v>229</v>
      </c>
      <c r="E90" t="s">
        <v>230</v>
      </c>
      <c r="F90" t="s">
        <v>51</v>
      </c>
      <c r="G90" t="s">
        <v>97</v>
      </c>
      <c r="H90" t="s">
        <v>98</v>
      </c>
      <c r="I90" t="s">
        <v>42</v>
      </c>
      <c r="J90" t="s">
        <v>258</v>
      </c>
      <c r="K90" t="s">
        <v>33</v>
      </c>
      <c r="L90" t="s">
        <v>73</v>
      </c>
      <c r="M90" t="s">
        <v>138</v>
      </c>
      <c r="N90" t="s">
        <v>44</v>
      </c>
      <c r="O90" s="3">
        <v>327.43</v>
      </c>
      <c r="P90">
        <v>1</v>
      </c>
      <c r="Q90" s="4">
        <v>0.2</v>
      </c>
      <c r="R90" s="3">
        <v>261.94400000000002</v>
      </c>
      <c r="S90" s="3">
        <v>175.41</v>
      </c>
      <c r="T90" s="3">
        <v>175.41</v>
      </c>
      <c r="U90" s="3">
        <v>86.53400000000002</v>
      </c>
      <c r="V90" s="5">
        <v>0.33035305256085273</v>
      </c>
      <c r="W90">
        <v>10</v>
      </c>
      <c r="X90" t="s">
        <v>37</v>
      </c>
      <c r="Y90" s="6">
        <v>4</v>
      </c>
    </row>
    <row r="91" spans="1:25">
      <c r="A91" t="s">
        <v>259</v>
      </c>
      <c r="B91" s="2">
        <v>45031</v>
      </c>
      <c r="C91">
        <v>2023</v>
      </c>
      <c r="D91" t="s">
        <v>229</v>
      </c>
      <c r="E91" t="s">
        <v>230</v>
      </c>
      <c r="F91" t="s">
        <v>51</v>
      </c>
      <c r="G91" t="s">
        <v>97</v>
      </c>
      <c r="H91" t="s">
        <v>98</v>
      </c>
      <c r="I91" t="s">
        <v>78</v>
      </c>
      <c r="J91" t="s">
        <v>260</v>
      </c>
      <c r="K91" t="s">
        <v>47</v>
      </c>
      <c r="L91" t="s">
        <v>114</v>
      </c>
      <c r="M91" t="s">
        <v>115</v>
      </c>
      <c r="N91" t="s">
        <v>44</v>
      </c>
      <c r="O91" s="3">
        <v>18.12</v>
      </c>
      <c r="P91">
        <v>11</v>
      </c>
      <c r="Q91" s="4">
        <v>0</v>
      </c>
      <c r="R91" s="3">
        <v>199.32000000000002</v>
      </c>
      <c r="S91" s="3">
        <v>7.13</v>
      </c>
      <c r="T91" s="3">
        <v>78.429999999999993</v>
      </c>
      <c r="U91" s="3">
        <v>120.89000000000003</v>
      </c>
      <c r="V91" s="5">
        <v>0.60651214128035325</v>
      </c>
      <c r="W91">
        <v>6</v>
      </c>
      <c r="X91" t="s">
        <v>37</v>
      </c>
      <c r="Y91" s="6">
        <v>4</v>
      </c>
    </row>
    <row r="92" spans="1:25">
      <c r="A92" t="s">
        <v>261</v>
      </c>
      <c r="B92" s="2">
        <v>45038</v>
      </c>
      <c r="C92">
        <v>2023</v>
      </c>
      <c r="D92" t="s">
        <v>229</v>
      </c>
      <c r="E92" t="s">
        <v>230</v>
      </c>
      <c r="F92" t="s">
        <v>39</v>
      </c>
      <c r="G92" t="s">
        <v>91</v>
      </c>
      <c r="H92" t="s">
        <v>92</v>
      </c>
      <c r="I92" t="s">
        <v>78</v>
      </c>
      <c r="J92" t="s">
        <v>262</v>
      </c>
      <c r="K92" t="s">
        <v>61</v>
      </c>
      <c r="L92" t="s">
        <v>80</v>
      </c>
      <c r="M92" t="s">
        <v>187</v>
      </c>
      <c r="N92" t="s">
        <v>44</v>
      </c>
      <c r="O92" s="3">
        <v>1298.3399999999999</v>
      </c>
      <c r="P92">
        <v>5</v>
      </c>
      <c r="Q92" s="4">
        <v>0.15</v>
      </c>
      <c r="R92" s="3">
        <v>5517.9449999999997</v>
      </c>
      <c r="S92" s="3">
        <v>859.63</v>
      </c>
      <c r="T92" s="3">
        <v>4298.1499999999996</v>
      </c>
      <c r="U92" s="3">
        <v>1219.7950000000001</v>
      </c>
      <c r="V92" s="5">
        <v>0.22105965173628953</v>
      </c>
      <c r="W92">
        <v>6</v>
      </c>
      <c r="X92" t="s">
        <v>58</v>
      </c>
      <c r="Y92" s="6">
        <v>3</v>
      </c>
    </row>
    <row r="93" spans="1:25">
      <c r="A93" t="s">
        <v>263</v>
      </c>
      <c r="B93" s="2">
        <v>45039</v>
      </c>
      <c r="C93">
        <v>2023</v>
      </c>
      <c r="D93" t="s">
        <v>229</v>
      </c>
      <c r="E93" t="s">
        <v>230</v>
      </c>
      <c r="F93" t="s">
        <v>39</v>
      </c>
      <c r="G93" t="s">
        <v>40</v>
      </c>
      <c r="H93" t="s">
        <v>41</v>
      </c>
      <c r="I93" t="s">
        <v>71</v>
      </c>
      <c r="J93" t="s">
        <v>264</v>
      </c>
      <c r="K93" t="s">
        <v>61</v>
      </c>
      <c r="L93" t="s">
        <v>62</v>
      </c>
      <c r="M93" t="s">
        <v>195</v>
      </c>
      <c r="N93" t="s">
        <v>57</v>
      </c>
      <c r="O93" s="3">
        <v>74.62</v>
      </c>
      <c r="P93">
        <v>2</v>
      </c>
      <c r="Q93" s="4">
        <v>0.1</v>
      </c>
      <c r="R93" s="3">
        <v>134.316</v>
      </c>
      <c r="S93" s="3">
        <v>32.74</v>
      </c>
      <c r="T93" s="3">
        <v>65.48</v>
      </c>
      <c r="U93" s="3">
        <v>68.835999999999999</v>
      </c>
      <c r="V93" s="5">
        <v>0.51249292712707339</v>
      </c>
      <c r="W93">
        <v>6</v>
      </c>
      <c r="X93" t="s">
        <v>37</v>
      </c>
      <c r="Y93" s="6">
        <v>4</v>
      </c>
    </row>
    <row r="94" spans="1:25">
      <c r="A94" t="s">
        <v>265</v>
      </c>
      <c r="B94" s="2">
        <v>45040</v>
      </c>
      <c r="C94">
        <v>2023</v>
      </c>
      <c r="D94" t="s">
        <v>229</v>
      </c>
      <c r="E94" t="s">
        <v>230</v>
      </c>
      <c r="F94" t="s">
        <v>39</v>
      </c>
      <c r="G94" t="s">
        <v>111</v>
      </c>
      <c r="H94" t="s">
        <v>112</v>
      </c>
      <c r="I94" t="s">
        <v>42</v>
      </c>
      <c r="J94" t="s">
        <v>266</v>
      </c>
      <c r="K94" t="s">
        <v>47</v>
      </c>
      <c r="L94" t="s">
        <v>114</v>
      </c>
      <c r="M94" t="s">
        <v>120</v>
      </c>
      <c r="N94" t="s">
        <v>36</v>
      </c>
      <c r="O94" s="3">
        <v>26.83</v>
      </c>
      <c r="P94">
        <v>10</v>
      </c>
      <c r="Q94" s="4">
        <v>0.15</v>
      </c>
      <c r="R94" s="3">
        <v>228.05499999999995</v>
      </c>
      <c r="S94" s="3">
        <v>10.73</v>
      </c>
      <c r="T94" s="3">
        <v>107.30000000000001</v>
      </c>
      <c r="U94" s="3">
        <v>120.75499999999994</v>
      </c>
      <c r="V94" s="5">
        <v>0.52949946284887406</v>
      </c>
      <c r="W94">
        <v>4</v>
      </c>
      <c r="X94" t="s">
        <v>37</v>
      </c>
      <c r="Y94" s="6">
        <v>5</v>
      </c>
    </row>
    <row r="95" spans="1:25">
      <c r="A95" t="s">
        <v>267</v>
      </c>
      <c r="B95" s="2">
        <v>45041</v>
      </c>
      <c r="C95">
        <v>2023</v>
      </c>
      <c r="D95" t="s">
        <v>229</v>
      </c>
      <c r="E95" t="s">
        <v>230</v>
      </c>
      <c r="F95" t="s">
        <v>28</v>
      </c>
      <c r="G95" t="s">
        <v>29</v>
      </c>
      <c r="H95" t="s">
        <v>106</v>
      </c>
      <c r="I95" t="s">
        <v>42</v>
      </c>
      <c r="J95" t="s">
        <v>268</v>
      </c>
      <c r="K95" t="s">
        <v>33</v>
      </c>
      <c r="L95" t="s">
        <v>88</v>
      </c>
      <c r="M95" t="s">
        <v>100</v>
      </c>
      <c r="N95" t="s">
        <v>57</v>
      </c>
      <c r="O95" s="3">
        <v>309.89999999999998</v>
      </c>
      <c r="P95">
        <v>4</v>
      </c>
      <c r="Q95" s="4">
        <v>0.15</v>
      </c>
      <c r="R95" s="3">
        <v>1053.6599999999999</v>
      </c>
      <c r="S95" s="3">
        <v>151.22999999999999</v>
      </c>
      <c r="T95" s="3">
        <v>604.91999999999996</v>
      </c>
      <c r="U95" s="3">
        <v>448.7399999999999</v>
      </c>
      <c r="V95" s="5">
        <v>0.42588690849040484</v>
      </c>
      <c r="W95">
        <v>5</v>
      </c>
      <c r="X95" t="s">
        <v>37</v>
      </c>
      <c r="Y95" s="6">
        <v>4</v>
      </c>
    </row>
    <row r="96" spans="1:25">
      <c r="A96" t="s">
        <v>269</v>
      </c>
      <c r="B96" s="2">
        <v>45041</v>
      </c>
      <c r="C96">
        <v>2023</v>
      </c>
      <c r="D96" t="s">
        <v>229</v>
      </c>
      <c r="E96" t="s">
        <v>230</v>
      </c>
      <c r="F96" t="s">
        <v>51</v>
      </c>
      <c r="G96" t="s">
        <v>52</v>
      </c>
      <c r="H96" t="s">
        <v>102</v>
      </c>
      <c r="I96" t="s">
        <v>42</v>
      </c>
      <c r="J96" t="s">
        <v>270</v>
      </c>
      <c r="K96" t="s">
        <v>33</v>
      </c>
      <c r="L96" t="s">
        <v>34</v>
      </c>
      <c r="M96" t="s">
        <v>35</v>
      </c>
      <c r="N96" t="s">
        <v>44</v>
      </c>
      <c r="O96" s="3">
        <v>172.5</v>
      </c>
      <c r="P96">
        <v>4</v>
      </c>
      <c r="Q96" s="4">
        <v>0</v>
      </c>
      <c r="R96" s="3">
        <v>690</v>
      </c>
      <c r="S96" s="3">
        <v>93.61</v>
      </c>
      <c r="T96" s="3">
        <v>374.44</v>
      </c>
      <c r="U96" s="3">
        <v>315.56</v>
      </c>
      <c r="V96" s="5">
        <v>0.45733333333333331</v>
      </c>
      <c r="W96">
        <v>7</v>
      </c>
      <c r="X96" t="s">
        <v>37</v>
      </c>
      <c r="Y96" s="6">
        <v>4</v>
      </c>
    </row>
    <row r="97" spans="1:25">
      <c r="A97" t="s">
        <v>271</v>
      </c>
      <c r="B97" s="2">
        <v>45042</v>
      </c>
      <c r="C97">
        <v>2023</v>
      </c>
      <c r="D97" t="s">
        <v>229</v>
      </c>
      <c r="E97" t="s">
        <v>230</v>
      </c>
      <c r="F97" t="s">
        <v>65</v>
      </c>
      <c r="G97" t="s">
        <v>66</v>
      </c>
      <c r="H97" t="s">
        <v>67</v>
      </c>
      <c r="I97" t="s">
        <v>71</v>
      </c>
      <c r="J97" t="s">
        <v>93</v>
      </c>
      <c r="K97" t="s">
        <v>33</v>
      </c>
      <c r="L97" t="s">
        <v>88</v>
      </c>
      <c r="M97" t="s">
        <v>100</v>
      </c>
      <c r="N97" t="s">
        <v>36</v>
      </c>
      <c r="O97" s="3">
        <v>311</v>
      </c>
      <c r="P97">
        <v>2</v>
      </c>
      <c r="Q97" s="4">
        <v>0.2</v>
      </c>
      <c r="R97" s="3">
        <v>497.6</v>
      </c>
      <c r="S97" s="3">
        <v>152.63</v>
      </c>
      <c r="T97" s="3">
        <v>305.26</v>
      </c>
      <c r="U97" s="3">
        <v>192.34000000000003</v>
      </c>
      <c r="V97" s="5">
        <v>0.38653536977491965</v>
      </c>
      <c r="W97">
        <v>4</v>
      </c>
      <c r="X97" t="s">
        <v>37</v>
      </c>
      <c r="Y97" s="6">
        <v>5</v>
      </c>
    </row>
    <row r="98" spans="1:25">
      <c r="A98" t="s">
        <v>272</v>
      </c>
      <c r="B98" s="2">
        <v>45043</v>
      </c>
      <c r="C98">
        <v>2023</v>
      </c>
      <c r="D98" t="s">
        <v>229</v>
      </c>
      <c r="E98" t="s">
        <v>230</v>
      </c>
      <c r="F98" t="s">
        <v>28</v>
      </c>
      <c r="G98" t="s">
        <v>29</v>
      </c>
      <c r="H98" t="s">
        <v>106</v>
      </c>
      <c r="I98" t="s">
        <v>31</v>
      </c>
      <c r="J98" t="s">
        <v>273</v>
      </c>
      <c r="K98" t="s">
        <v>61</v>
      </c>
      <c r="L98" t="s">
        <v>80</v>
      </c>
      <c r="M98" t="s">
        <v>81</v>
      </c>
      <c r="N98" t="s">
        <v>36</v>
      </c>
      <c r="O98" s="3">
        <v>951.04</v>
      </c>
      <c r="P98">
        <v>1</v>
      </c>
      <c r="Q98" s="4">
        <v>0</v>
      </c>
      <c r="R98" s="3">
        <v>951.04</v>
      </c>
      <c r="S98" s="3">
        <v>642.64</v>
      </c>
      <c r="T98" s="3">
        <v>642.64</v>
      </c>
      <c r="U98" s="3">
        <v>308.39999999999998</v>
      </c>
      <c r="V98" s="5">
        <v>0.32427658142664872</v>
      </c>
      <c r="W98">
        <v>2</v>
      </c>
      <c r="X98" t="s">
        <v>37</v>
      </c>
      <c r="Y98" s="6">
        <v>5</v>
      </c>
    </row>
    <row r="99" spans="1:25">
      <c r="A99" t="s">
        <v>274</v>
      </c>
      <c r="B99" s="2">
        <v>45044</v>
      </c>
      <c r="C99">
        <v>2023</v>
      </c>
      <c r="D99" t="s">
        <v>229</v>
      </c>
      <c r="E99" t="s">
        <v>230</v>
      </c>
      <c r="F99" t="s">
        <v>51</v>
      </c>
      <c r="G99" t="s">
        <v>97</v>
      </c>
      <c r="H99" t="s">
        <v>98</v>
      </c>
      <c r="I99" t="s">
        <v>78</v>
      </c>
      <c r="J99" t="s">
        <v>169</v>
      </c>
      <c r="K99" t="s">
        <v>33</v>
      </c>
      <c r="L99" t="s">
        <v>73</v>
      </c>
      <c r="M99" t="s">
        <v>138</v>
      </c>
      <c r="N99" t="s">
        <v>57</v>
      </c>
      <c r="O99" s="3">
        <v>323.72000000000003</v>
      </c>
      <c r="P99">
        <v>5</v>
      </c>
      <c r="Q99" s="4">
        <v>0</v>
      </c>
      <c r="R99" s="3">
        <v>1618.6000000000001</v>
      </c>
      <c r="S99" s="3">
        <v>176.97</v>
      </c>
      <c r="T99" s="3">
        <v>884.85</v>
      </c>
      <c r="U99" s="3">
        <v>733.75000000000011</v>
      </c>
      <c r="V99" s="5">
        <v>0.45332386012603487</v>
      </c>
      <c r="W99">
        <v>4</v>
      </c>
      <c r="X99" t="s">
        <v>37</v>
      </c>
      <c r="Y99" s="6">
        <v>4</v>
      </c>
    </row>
    <row r="100" spans="1:25">
      <c r="A100" t="s">
        <v>275</v>
      </c>
      <c r="B100" s="2">
        <v>45046</v>
      </c>
      <c r="C100">
        <v>2023</v>
      </c>
      <c r="D100" t="s">
        <v>229</v>
      </c>
      <c r="E100" t="s">
        <v>230</v>
      </c>
      <c r="F100" t="s">
        <v>28</v>
      </c>
      <c r="G100" t="s">
        <v>29</v>
      </c>
      <c r="H100" t="s">
        <v>30</v>
      </c>
      <c r="I100" t="s">
        <v>31</v>
      </c>
      <c r="J100" t="s">
        <v>276</v>
      </c>
      <c r="K100" t="s">
        <v>47</v>
      </c>
      <c r="L100" t="s">
        <v>55</v>
      </c>
      <c r="M100" t="s">
        <v>69</v>
      </c>
      <c r="N100" t="s">
        <v>57</v>
      </c>
      <c r="O100" s="3">
        <v>44.04</v>
      </c>
      <c r="P100">
        <v>11</v>
      </c>
      <c r="Q100" s="4">
        <v>0.15</v>
      </c>
      <c r="R100" s="3">
        <v>411.774</v>
      </c>
      <c r="S100" s="3">
        <v>22.35</v>
      </c>
      <c r="T100" s="3">
        <v>245.85000000000002</v>
      </c>
      <c r="U100" s="3">
        <v>165.92399999999998</v>
      </c>
      <c r="V100" s="5">
        <v>0.40294919057541267</v>
      </c>
      <c r="W100">
        <v>1</v>
      </c>
      <c r="X100" t="s">
        <v>37</v>
      </c>
      <c r="Y100" s="6">
        <v>5</v>
      </c>
    </row>
    <row r="101" spans="1:25">
      <c r="A101" t="s">
        <v>277</v>
      </c>
      <c r="B101" s="2">
        <v>45047</v>
      </c>
      <c r="C101">
        <v>2023</v>
      </c>
      <c r="D101" t="s">
        <v>229</v>
      </c>
      <c r="E101" t="s">
        <v>278</v>
      </c>
      <c r="F101" t="s">
        <v>65</v>
      </c>
      <c r="G101" t="s">
        <v>76</v>
      </c>
      <c r="H101" t="s">
        <v>77</v>
      </c>
      <c r="I101" t="s">
        <v>71</v>
      </c>
      <c r="J101" t="s">
        <v>279</v>
      </c>
      <c r="K101" t="s">
        <v>47</v>
      </c>
      <c r="L101" t="s">
        <v>114</v>
      </c>
      <c r="M101" t="s">
        <v>115</v>
      </c>
      <c r="N101" t="s">
        <v>57</v>
      </c>
      <c r="O101" s="3">
        <v>18.29</v>
      </c>
      <c r="P101">
        <v>7</v>
      </c>
      <c r="Q101" s="4">
        <v>0.2</v>
      </c>
      <c r="R101" s="3">
        <v>102.42400000000001</v>
      </c>
      <c r="S101" s="3">
        <v>6.9</v>
      </c>
      <c r="T101" s="3">
        <v>48.300000000000004</v>
      </c>
      <c r="U101" s="3">
        <v>54.124000000000002</v>
      </c>
      <c r="V101" s="5">
        <v>0.52843083652268996</v>
      </c>
      <c r="W101">
        <v>4</v>
      </c>
      <c r="X101" t="s">
        <v>37</v>
      </c>
      <c r="Y101" s="6">
        <v>4</v>
      </c>
    </row>
    <row r="102" spans="1:25">
      <c r="A102" t="s">
        <v>280</v>
      </c>
      <c r="B102" s="2">
        <v>45049</v>
      </c>
      <c r="C102">
        <v>2023</v>
      </c>
      <c r="D102" t="s">
        <v>229</v>
      </c>
      <c r="E102" t="s">
        <v>278</v>
      </c>
      <c r="F102" t="s">
        <v>28</v>
      </c>
      <c r="G102" t="s">
        <v>29</v>
      </c>
      <c r="H102" t="s">
        <v>60</v>
      </c>
      <c r="I102" t="s">
        <v>31</v>
      </c>
      <c r="J102" t="s">
        <v>164</v>
      </c>
      <c r="K102" t="s">
        <v>61</v>
      </c>
      <c r="L102" t="s">
        <v>84</v>
      </c>
      <c r="M102" t="s">
        <v>85</v>
      </c>
      <c r="N102" t="s">
        <v>36</v>
      </c>
      <c r="O102" s="3">
        <v>144.34</v>
      </c>
      <c r="P102">
        <v>3</v>
      </c>
      <c r="Q102" s="4">
        <v>0.2</v>
      </c>
      <c r="R102" s="3">
        <v>346.416</v>
      </c>
      <c r="S102" s="3">
        <v>70.12</v>
      </c>
      <c r="T102" s="3">
        <v>210.36</v>
      </c>
      <c r="U102" s="3">
        <v>136.05599999999998</v>
      </c>
      <c r="V102" s="5">
        <v>0.39275322156020503</v>
      </c>
      <c r="W102">
        <v>1</v>
      </c>
      <c r="X102" t="s">
        <v>37</v>
      </c>
      <c r="Y102" s="6">
        <v>5</v>
      </c>
    </row>
    <row r="103" spans="1:25">
      <c r="A103" t="s">
        <v>281</v>
      </c>
      <c r="B103" s="2">
        <v>45049</v>
      </c>
      <c r="C103">
        <v>2023</v>
      </c>
      <c r="D103" t="s">
        <v>229</v>
      </c>
      <c r="E103" t="s">
        <v>278</v>
      </c>
      <c r="F103" t="s">
        <v>39</v>
      </c>
      <c r="G103" t="s">
        <v>111</v>
      </c>
      <c r="H103" t="s">
        <v>112</v>
      </c>
      <c r="I103" t="s">
        <v>31</v>
      </c>
      <c r="J103" t="s">
        <v>282</v>
      </c>
      <c r="K103" t="s">
        <v>61</v>
      </c>
      <c r="L103" t="s">
        <v>62</v>
      </c>
      <c r="M103" t="s">
        <v>195</v>
      </c>
      <c r="N103" t="s">
        <v>44</v>
      </c>
      <c r="O103" s="3">
        <v>71.510000000000005</v>
      </c>
      <c r="P103">
        <v>4</v>
      </c>
      <c r="Q103" s="4">
        <v>0</v>
      </c>
      <c r="R103" s="3">
        <v>286.04000000000002</v>
      </c>
      <c r="S103" s="3">
        <v>32.47</v>
      </c>
      <c r="T103" s="3">
        <v>129.88</v>
      </c>
      <c r="U103" s="3">
        <v>156.16000000000003</v>
      </c>
      <c r="V103" s="5">
        <v>0.54593763110054538</v>
      </c>
      <c r="W103">
        <v>6</v>
      </c>
      <c r="X103" t="s">
        <v>37</v>
      </c>
      <c r="Y103" s="6">
        <v>4</v>
      </c>
    </row>
    <row r="104" spans="1:25">
      <c r="A104" t="s">
        <v>283</v>
      </c>
      <c r="B104" s="2">
        <v>45051</v>
      </c>
      <c r="C104">
        <v>2023</v>
      </c>
      <c r="D104" t="s">
        <v>229</v>
      </c>
      <c r="E104" t="s">
        <v>278</v>
      </c>
      <c r="F104" t="s">
        <v>65</v>
      </c>
      <c r="G104" t="s">
        <v>76</v>
      </c>
      <c r="H104" t="s">
        <v>126</v>
      </c>
      <c r="I104" t="s">
        <v>42</v>
      </c>
      <c r="J104" t="s">
        <v>284</v>
      </c>
      <c r="K104" t="s">
        <v>61</v>
      </c>
      <c r="L104" t="s">
        <v>84</v>
      </c>
      <c r="M104" t="s">
        <v>135</v>
      </c>
      <c r="N104" t="s">
        <v>36</v>
      </c>
      <c r="O104" s="3">
        <v>924.51</v>
      </c>
      <c r="P104">
        <v>2</v>
      </c>
      <c r="Q104" s="4">
        <v>0.1</v>
      </c>
      <c r="R104" s="3">
        <v>1664.1179999999999</v>
      </c>
      <c r="S104" s="3">
        <v>568.44000000000005</v>
      </c>
      <c r="T104" s="3">
        <v>1136.8800000000001</v>
      </c>
      <c r="U104" s="3">
        <v>527.23799999999983</v>
      </c>
      <c r="V104" s="5">
        <v>0.31682729229537798</v>
      </c>
      <c r="W104">
        <v>3</v>
      </c>
      <c r="X104" t="s">
        <v>37</v>
      </c>
      <c r="Y104" s="6">
        <v>5</v>
      </c>
    </row>
    <row r="105" spans="1:25">
      <c r="A105" t="s">
        <v>285</v>
      </c>
      <c r="B105" s="2">
        <v>45051</v>
      </c>
      <c r="C105">
        <v>2023</v>
      </c>
      <c r="D105" t="s">
        <v>229</v>
      </c>
      <c r="E105" t="s">
        <v>278</v>
      </c>
      <c r="F105" t="s">
        <v>51</v>
      </c>
      <c r="G105" t="s">
        <v>52</v>
      </c>
      <c r="H105" t="s">
        <v>53</v>
      </c>
      <c r="I105" t="s">
        <v>71</v>
      </c>
      <c r="J105" t="s">
        <v>286</v>
      </c>
      <c r="K105" t="s">
        <v>33</v>
      </c>
      <c r="L105" t="s">
        <v>73</v>
      </c>
      <c r="M105" t="s">
        <v>138</v>
      </c>
      <c r="N105" t="s">
        <v>36</v>
      </c>
      <c r="O105" s="3">
        <v>336.74</v>
      </c>
      <c r="P105">
        <v>2</v>
      </c>
      <c r="Q105" s="4">
        <v>0</v>
      </c>
      <c r="R105" s="3">
        <v>673.48</v>
      </c>
      <c r="S105" s="3">
        <v>180.66</v>
      </c>
      <c r="T105" s="3">
        <v>361.32</v>
      </c>
      <c r="U105" s="3">
        <v>312.16000000000003</v>
      </c>
      <c r="V105" s="5">
        <v>0.46350299934667699</v>
      </c>
      <c r="W105">
        <v>2</v>
      </c>
      <c r="X105" t="s">
        <v>37</v>
      </c>
      <c r="Y105" s="6">
        <v>5</v>
      </c>
    </row>
    <row r="106" spans="1:25">
      <c r="A106" t="s">
        <v>287</v>
      </c>
      <c r="B106" s="2">
        <v>45052</v>
      </c>
      <c r="C106">
        <v>2023</v>
      </c>
      <c r="D106" t="s">
        <v>229</v>
      </c>
      <c r="E106" t="s">
        <v>278</v>
      </c>
      <c r="F106" t="s">
        <v>51</v>
      </c>
      <c r="G106" t="s">
        <v>97</v>
      </c>
      <c r="H106" t="s">
        <v>98</v>
      </c>
      <c r="I106" t="s">
        <v>71</v>
      </c>
      <c r="J106" t="s">
        <v>288</v>
      </c>
      <c r="K106" t="s">
        <v>47</v>
      </c>
      <c r="L106" t="s">
        <v>55</v>
      </c>
      <c r="M106" t="s">
        <v>56</v>
      </c>
      <c r="N106" t="s">
        <v>57</v>
      </c>
      <c r="O106" s="3">
        <v>40.200000000000003</v>
      </c>
      <c r="P106">
        <v>1</v>
      </c>
      <c r="Q106" s="4">
        <v>0</v>
      </c>
      <c r="R106" s="3">
        <v>40.200000000000003</v>
      </c>
      <c r="S106" s="3">
        <v>17.41</v>
      </c>
      <c r="T106" s="3">
        <v>17.41</v>
      </c>
      <c r="U106" s="3">
        <v>22.790000000000003</v>
      </c>
      <c r="V106" s="5">
        <v>0.56691542288557217</v>
      </c>
      <c r="W106">
        <v>1</v>
      </c>
      <c r="X106" t="s">
        <v>37</v>
      </c>
      <c r="Y106" s="6">
        <v>5</v>
      </c>
    </row>
    <row r="107" spans="1:25">
      <c r="A107" t="s">
        <v>289</v>
      </c>
      <c r="B107" s="2">
        <v>45053</v>
      </c>
      <c r="C107">
        <v>2023</v>
      </c>
      <c r="D107" t="s">
        <v>229</v>
      </c>
      <c r="E107" t="s">
        <v>278</v>
      </c>
      <c r="F107" t="s">
        <v>65</v>
      </c>
      <c r="G107" t="s">
        <v>76</v>
      </c>
      <c r="H107" t="s">
        <v>77</v>
      </c>
      <c r="I107" t="s">
        <v>31</v>
      </c>
      <c r="J107" t="s">
        <v>290</v>
      </c>
      <c r="K107" t="s">
        <v>33</v>
      </c>
      <c r="L107" t="s">
        <v>73</v>
      </c>
      <c r="M107" t="s">
        <v>74</v>
      </c>
      <c r="N107" t="s">
        <v>57</v>
      </c>
      <c r="O107" s="3">
        <v>664.17</v>
      </c>
      <c r="P107">
        <v>4</v>
      </c>
      <c r="Q107" s="4">
        <v>0.05</v>
      </c>
      <c r="R107" s="3">
        <v>2523.8459999999995</v>
      </c>
      <c r="S107" s="3">
        <v>407.45</v>
      </c>
      <c r="T107" s="3">
        <v>1629.8</v>
      </c>
      <c r="U107" s="3">
        <v>894.04599999999959</v>
      </c>
      <c r="V107" s="5">
        <v>0.35423952174577994</v>
      </c>
      <c r="W107">
        <v>2</v>
      </c>
      <c r="X107" t="s">
        <v>37</v>
      </c>
      <c r="Y107" s="6">
        <v>5</v>
      </c>
    </row>
    <row r="108" spans="1:25">
      <c r="A108" t="s">
        <v>291</v>
      </c>
      <c r="B108" s="2">
        <v>45054</v>
      </c>
      <c r="C108">
        <v>2023</v>
      </c>
      <c r="D108" t="s">
        <v>229</v>
      </c>
      <c r="E108" t="s">
        <v>278</v>
      </c>
      <c r="F108" t="s">
        <v>39</v>
      </c>
      <c r="G108" t="s">
        <v>40</v>
      </c>
      <c r="H108" t="s">
        <v>41</v>
      </c>
      <c r="I108" t="s">
        <v>71</v>
      </c>
      <c r="J108" t="s">
        <v>284</v>
      </c>
      <c r="K108" t="s">
        <v>47</v>
      </c>
      <c r="L108" t="s">
        <v>55</v>
      </c>
      <c r="M108" t="s">
        <v>69</v>
      </c>
      <c r="N108" t="s">
        <v>36</v>
      </c>
      <c r="O108" s="3">
        <v>43.25</v>
      </c>
      <c r="P108">
        <v>10</v>
      </c>
      <c r="Q108" s="4">
        <v>0</v>
      </c>
      <c r="R108" s="3">
        <v>432.5</v>
      </c>
      <c r="S108" s="3">
        <v>22.13</v>
      </c>
      <c r="T108" s="3">
        <v>221.29999999999998</v>
      </c>
      <c r="U108" s="3">
        <v>211.20000000000002</v>
      </c>
      <c r="V108" s="5">
        <v>0.48832369942196535</v>
      </c>
      <c r="W108">
        <v>7</v>
      </c>
      <c r="X108" t="s">
        <v>37</v>
      </c>
      <c r="Y108" s="6">
        <v>4</v>
      </c>
    </row>
    <row r="109" spans="1:25">
      <c r="A109" t="s">
        <v>292</v>
      </c>
      <c r="B109" s="2">
        <v>45058</v>
      </c>
      <c r="C109">
        <v>2023</v>
      </c>
      <c r="D109" t="s">
        <v>229</v>
      </c>
      <c r="E109" t="s">
        <v>278</v>
      </c>
      <c r="F109" t="s">
        <v>39</v>
      </c>
      <c r="G109" t="s">
        <v>111</v>
      </c>
      <c r="H109" t="s">
        <v>112</v>
      </c>
      <c r="I109" t="s">
        <v>42</v>
      </c>
      <c r="J109" t="s">
        <v>293</v>
      </c>
      <c r="K109" t="s">
        <v>47</v>
      </c>
      <c r="L109" t="s">
        <v>55</v>
      </c>
      <c r="M109" t="s">
        <v>69</v>
      </c>
      <c r="N109" t="s">
        <v>36</v>
      </c>
      <c r="O109" s="3">
        <v>41.97</v>
      </c>
      <c r="P109">
        <v>11</v>
      </c>
      <c r="Q109" s="4">
        <v>0.1</v>
      </c>
      <c r="R109" s="3">
        <v>415.50299999999999</v>
      </c>
      <c r="S109" s="3">
        <v>21.9</v>
      </c>
      <c r="T109" s="3">
        <v>240.89999999999998</v>
      </c>
      <c r="U109" s="3">
        <v>174.60300000000001</v>
      </c>
      <c r="V109" s="5">
        <v>0.42022079262965611</v>
      </c>
      <c r="W109">
        <v>3</v>
      </c>
      <c r="X109" t="s">
        <v>37</v>
      </c>
      <c r="Y109" s="6">
        <v>5</v>
      </c>
    </row>
    <row r="110" spans="1:25">
      <c r="A110" t="s">
        <v>294</v>
      </c>
      <c r="B110" s="2">
        <v>45058</v>
      </c>
      <c r="C110">
        <v>2023</v>
      </c>
      <c r="D110" t="s">
        <v>229</v>
      </c>
      <c r="E110" t="s">
        <v>278</v>
      </c>
      <c r="F110" t="s">
        <v>51</v>
      </c>
      <c r="G110" t="s">
        <v>97</v>
      </c>
      <c r="H110" t="s">
        <v>98</v>
      </c>
      <c r="I110" t="s">
        <v>42</v>
      </c>
      <c r="J110" t="s">
        <v>295</v>
      </c>
      <c r="K110" t="s">
        <v>61</v>
      </c>
      <c r="L110" t="s">
        <v>62</v>
      </c>
      <c r="M110" t="s">
        <v>195</v>
      </c>
      <c r="N110" t="s">
        <v>44</v>
      </c>
      <c r="O110" s="3">
        <v>76.77</v>
      </c>
      <c r="P110">
        <v>1</v>
      </c>
      <c r="Q110" s="4">
        <v>0.2</v>
      </c>
      <c r="R110" s="3">
        <v>61.415999999999997</v>
      </c>
      <c r="S110" s="3">
        <v>32.880000000000003</v>
      </c>
      <c r="T110" s="3">
        <v>32.880000000000003</v>
      </c>
      <c r="U110" s="3">
        <v>28.535999999999994</v>
      </c>
      <c r="V110" s="5">
        <v>0.46463462289957008</v>
      </c>
      <c r="W110">
        <v>3</v>
      </c>
      <c r="X110" t="s">
        <v>37</v>
      </c>
      <c r="Y110" s="6">
        <v>5</v>
      </c>
    </row>
    <row r="111" spans="1:25">
      <c r="A111" t="s">
        <v>296</v>
      </c>
      <c r="B111" s="2">
        <v>45058</v>
      </c>
      <c r="C111">
        <v>2023</v>
      </c>
      <c r="D111" t="s">
        <v>229</v>
      </c>
      <c r="E111" t="s">
        <v>278</v>
      </c>
      <c r="F111" t="s">
        <v>65</v>
      </c>
      <c r="G111" t="s">
        <v>76</v>
      </c>
      <c r="H111" t="s">
        <v>126</v>
      </c>
      <c r="I111" t="s">
        <v>42</v>
      </c>
      <c r="J111" t="s">
        <v>213</v>
      </c>
      <c r="K111" t="s">
        <v>33</v>
      </c>
      <c r="L111" t="s">
        <v>88</v>
      </c>
      <c r="M111" t="s">
        <v>100</v>
      </c>
      <c r="N111" t="s">
        <v>44</v>
      </c>
      <c r="O111" s="3">
        <v>286.86</v>
      </c>
      <c r="P111">
        <v>2</v>
      </c>
      <c r="Q111" s="4">
        <v>0</v>
      </c>
      <c r="R111" s="3">
        <v>573.72</v>
      </c>
      <c r="S111" s="3">
        <v>157.69999999999999</v>
      </c>
      <c r="T111" s="3">
        <v>315.39999999999998</v>
      </c>
      <c r="U111" s="3">
        <v>258.32000000000005</v>
      </c>
      <c r="V111" s="5">
        <v>0.4502544795370565</v>
      </c>
      <c r="W111">
        <v>6</v>
      </c>
      <c r="X111" t="s">
        <v>37</v>
      </c>
      <c r="Y111" s="6">
        <v>4</v>
      </c>
    </row>
    <row r="112" spans="1:25">
      <c r="A112" t="s">
        <v>297</v>
      </c>
      <c r="B112" s="2">
        <v>45060</v>
      </c>
      <c r="C112">
        <v>2023</v>
      </c>
      <c r="D112" t="s">
        <v>229</v>
      </c>
      <c r="E112" t="s">
        <v>278</v>
      </c>
      <c r="F112" t="s">
        <v>65</v>
      </c>
      <c r="G112" t="s">
        <v>76</v>
      </c>
      <c r="H112" t="s">
        <v>126</v>
      </c>
      <c r="I112" t="s">
        <v>71</v>
      </c>
      <c r="J112" t="s">
        <v>282</v>
      </c>
      <c r="K112" t="s">
        <v>61</v>
      </c>
      <c r="L112" t="s">
        <v>84</v>
      </c>
      <c r="M112" t="s">
        <v>85</v>
      </c>
      <c r="N112" t="s">
        <v>44</v>
      </c>
      <c r="O112" s="3">
        <v>155.54</v>
      </c>
      <c r="P112">
        <v>1</v>
      </c>
      <c r="Q112" s="4">
        <v>0.1</v>
      </c>
      <c r="R112" s="3">
        <v>139.98599999999999</v>
      </c>
      <c r="S112" s="3">
        <v>73.489999999999995</v>
      </c>
      <c r="T112" s="3">
        <v>73.489999999999995</v>
      </c>
      <c r="U112" s="3">
        <v>66.495999999999995</v>
      </c>
      <c r="V112" s="5">
        <v>0.47501893046447502</v>
      </c>
      <c r="W112">
        <v>6</v>
      </c>
      <c r="X112" t="s">
        <v>37</v>
      </c>
      <c r="Y112" s="6">
        <v>4</v>
      </c>
    </row>
    <row r="113" spans="1:25">
      <c r="A113" t="s">
        <v>298</v>
      </c>
      <c r="B113" s="2">
        <v>45061</v>
      </c>
      <c r="C113">
        <v>2023</v>
      </c>
      <c r="D113" t="s">
        <v>229</v>
      </c>
      <c r="E113" t="s">
        <v>278</v>
      </c>
      <c r="F113" t="s">
        <v>28</v>
      </c>
      <c r="G113" t="s">
        <v>29</v>
      </c>
      <c r="H113" t="s">
        <v>106</v>
      </c>
      <c r="I113" t="s">
        <v>78</v>
      </c>
      <c r="J113" t="s">
        <v>169</v>
      </c>
      <c r="K113" t="s">
        <v>61</v>
      </c>
      <c r="L113" t="s">
        <v>62</v>
      </c>
      <c r="M113" t="s">
        <v>63</v>
      </c>
      <c r="N113" t="s">
        <v>36</v>
      </c>
      <c r="O113" s="3">
        <v>89.08</v>
      </c>
      <c r="P113">
        <v>3</v>
      </c>
      <c r="Q113" s="4">
        <v>0</v>
      </c>
      <c r="R113" s="3">
        <v>267.24</v>
      </c>
      <c r="S113" s="3">
        <v>44.95</v>
      </c>
      <c r="T113" s="3">
        <v>134.85000000000002</v>
      </c>
      <c r="U113" s="3">
        <v>132.38999999999999</v>
      </c>
      <c r="V113" s="5">
        <v>0.49539739559946111</v>
      </c>
      <c r="W113">
        <v>1</v>
      </c>
      <c r="X113" t="s">
        <v>37</v>
      </c>
      <c r="Y113" s="6">
        <v>5</v>
      </c>
    </row>
    <row r="114" spans="1:25">
      <c r="A114" t="s">
        <v>299</v>
      </c>
      <c r="B114" s="2">
        <v>45061</v>
      </c>
      <c r="C114">
        <v>2023</v>
      </c>
      <c r="D114" t="s">
        <v>229</v>
      </c>
      <c r="E114" t="s">
        <v>278</v>
      </c>
      <c r="F114" t="s">
        <v>28</v>
      </c>
      <c r="G114" t="s">
        <v>29</v>
      </c>
      <c r="H114" t="s">
        <v>106</v>
      </c>
      <c r="I114" t="s">
        <v>78</v>
      </c>
      <c r="J114" t="s">
        <v>300</v>
      </c>
      <c r="K114" t="s">
        <v>33</v>
      </c>
      <c r="L114" t="s">
        <v>88</v>
      </c>
      <c r="M114" t="s">
        <v>100</v>
      </c>
      <c r="N114" t="s">
        <v>36</v>
      </c>
      <c r="O114" s="3">
        <v>299.39999999999998</v>
      </c>
      <c r="P114">
        <v>3</v>
      </c>
      <c r="Q114" s="4">
        <v>0</v>
      </c>
      <c r="R114" s="3">
        <v>898.19999999999993</v>
      </c>
      <c r="S114" s="3">
        <v>159.47</v>
      </c>
      <c r="T114" s="3">
        <v>478.40999999999997</v>
      </c>
      <c r="U114" s="3">
        <v>419.78999999999996</v>
      </c>
      <c r="V114" s="5">
        <v>0.46736806947227788</v>
      </c>
      <c r="W114">
        <v>5</v>
      </c>
      <c r="X114" t="s">
        <v>37</v>
      </c>
      <c r="Y114" s="6">
        <v>5</v>
      </c>
    </row>
    <row r="115" spans="1:25">
      <c r="A115" t="s">
        <v>301</v>
      </c>
      <c r="B115" s="2">
        <v>45063</v>
      </c>
      <c r="C115">
        <v>2023</v>
      </c>
      <c r="D115" t="s">
        <v>229</v>
      </c>
      <c r="E115" t="s">
        <v>278</v>
      </c>
      <c r="F115" t="s">
        <v>65</v>
      </c>
      <c r="G115" t="s">
        <v>76</v>
      </c>
      <c r="H115" t="s">
        <v>126</v>
      </c>
      <c r="I115" t="s">
        <v>42</v>
      </c>
      <c r="J115" t="s">
        <v>302</v>
      </c>
      <c r="K115" t="s">
        <v>33</v>
      </c>
      <c r="L115" t="s">
        <v>88</v>
      </c>
      <c r="M115" t="s">
        <v>100</v>
      </c>
      <c r="N115" t="s">
        <v>44</v>
      </c>
      <c r="O115" s="3">
        <v>305.55</v>
      </c>
      <c r="P115">
        <v>5</v>
      </c>
      <c r="Q115" s="4">
        <v>0.05</v>
      </c>
      <c r="R115" s="3">
        <v>1451.3625</v>
      </c>
      <c r="S115" s="3">
        <v>154.86000000000001</v>
      </c>
      <c r="T115" s="3">
        <v>774.30000000000007</v>
      </c>
      <c r="U115" s="3">
        <v>677.06249999999989</v>
      </c>
      <c r="V115" s="5">
        <v>0.46650130480841273</v>
      </c>
      <c r="W115">
        <v>5</v>
      </c>
      <c r="X115" t="s">
        <v>37</v>
      </c>
      <c r="Y115" s="6">
        <v>4</v>
      </c>
    </row>
    <row r="116" spans="1:25">
      <c r="A116" t="s">
        <v>303</v>
      </c>
      <c r="B116" s="2">
        <v>45063</v>
      </c>
      <c r="C116">
        <v>2023</v>
      </c>
      <c r="D116" t="s">
        <v>229</v>
      </c>
      <c r="E116" t="s">
        <v>278</v>
      </c>
      <c r="F116" t="s">
        <v>65</v>
      </c>
      <c r="G116" t="s">
        <v>66</v>
      </c>
      <c r="H116" t="s">
        <v>67</v>
      </c>
      <c r="I116" t="s">
        <v>71</v>
      </c>
      <c r="J116" t="s">
        <v>304</v>
      </c>
      <c r="K116" t="s">
        <v>33</v>
      </c>
      <c r="L116" t="s">
        <v>73</v>
      </c>
      <c r="M116" t="s">
        <v>138</v>
      </c>
      <c r="N116" t="s">
        <v>57</v>
      </c>
      <c r="O116" s="3">
        <v>313.68</v>
      </c>
      <c r="P116">
        <v>3</v>
      </c>
      <c r="Q116" s="4">
        <v>0.1</v>
      </c>
      <c r="R116" s="3">
        <v>846.93600000000004</v>
      </c>
      <c r="S116" s="3">
        <v>176.23</v>
      </c>
      <c r="T116" s="3">
        <v>528.68999999999994</v>
      </c>
      <c r="U116" s="3">
        <v>318.24600000000009</v>
      </c>
      <c r="V116" s="5">
        <v>0.37576156876080374</v>
      </c>
      <c r="W116">
        <v>1</v>
      </c>
      <c r="X116" t="s">
        <v>37</v>
      </c>
      <c r="Y116" s="6">
        <v>5</v>
      </c>
    </row>
    <row r="117" spans="1:25">
      <c r="A117" t="s">
        <v>305</v>
      </c>
      <c r="B117" s="2">
        <v>45063</v>
      </c>
      <c r="C117">
        <v>2023</v>
      </c>
      <c r="D117" t="s">
        <v>229</v>
      </c>
      <c r="E117" t="s">
        <v>278</v>
      </c>
      <c r="F117" t="s">
        <v>39</v>
      </c>
      <c r="G117" t="s">
        <v>111</v>
      </c>
      <c r="H117" t="s">
        <v>112</v>
      </c>
      <c r="I117" t="s">
        <v>31</v>
      </c>
      <c r="J117" t="s">
        <v>129</v>
      </c>
      <c r="K117" t="s">
        <v>61</v>
      </c>
      <c r="L117" t="s">
        <v>80</v>
      </c>
      <c r="M117" t="s">
        <v>187</v>
      </c>
      <c r="N117" t="s">
        <v>44</v>
      </c>
      <c r="O117" s="3">
        <v>1313.77</v>
      </c>
      <c r="P117">
        <v>5</v>
      </c>
      <c r="Q117" s="4">
        <v>0</v>
      </c>
      <c r="R117" s="3">
        <v>6568.85</v>
      </c>
      <c r="S117" s="3">
        <v>831.21</v>
      </c>
      <c r="T117" s="3">
        <v>4156.05</v>
      </c>
      <c r="U117" s="3">
        <v>2412.8000000000002</v>
      </c>
      <c r="V117" s="5">
        <v>0.36730934638483143</v>
      </c>
      <c r="W117">
        <v>7</v>
      </c>
      <c r="X117" t="s">
        <v>37</v>
      </c>
      <c r="Y117" s="6">
        <v>4</v>
      </c>
    </row>
    <row r="118" spans="1:25">
      <c r="A118" t="s">
        <v>306</v>
      </c>
      <c r="B118" s="2">
        <v>45064</v>
      </c>
      <c r="C118">
        <v>2023</v>
      </c>
      <c r="D118" t="s">
        <v>229</v>
      </c>
      <c r="E118" t="s">
        <v>278</v>
      </c>
      <c r="F118" t="s">
        <v>28</v>
      </c>
      <c r="G118" t="s">
        <v>29</v>
      </c>
      <c r="H118" t="s">
        <v>60</v>
      </c>
      <c r="I118" t="s">
        <v>71</v>
      </c>
      <c r="J118" t="s">
        <v>307</v>
      </c>
      <c r="K118" t="s">
        <v>47</v>
      </c>
      <c r="L118" t="s">
        <v>55</v>
      </c>
      <c r="M118" t="s">
        <v>69</v>
      </c>
      <c r="N118" t="s">
        <v>44</v>
      </c>
      <c r="O118" s="3">
        <v>43.43</v>
      </c>
      <c r="P118">
        <v>3</v>
      </c>
      <c r="Q118" s="4">
        <v>0.2</v>
      </c>
      <c r="R118" s="3">
        <v>104.232</v>
      </c>
      <c r="S118" s="3">
        <v>21.93</v>
      </c>
      <c r="T118" s="3">
        <v>65.789999999999992</v>
      </c>
      <c r="U118" s="3">
        <v>38.442000000000007</v>
      </c>
      <c r="V118" s="5">
        <v>0.36881188118811886</v>
      </c>
      <c r="W118">
        <v>2</v>
      </c>
      <c r="X118" t="s">
        <v>37</v>
      </c>
      <c r="Y118" s="6">
        <v>5</v>
      </c>
    </row>
    <row r="119" spans="1:25">
      <c r="A119" t="s">
        <v>308</v>
      </c>
      <c r="B119" s="2">
        <v>45064</v>
      </c>
      <c r="C119">
        <v>2023</v>
      </c>
      <c r="D119" t="s">
        <v>229</v>
      </c>
      <c r="E119" t="s">
        <v>278</v>
      </c>
      <c r="F119" t="s">
        <v>65</v>
      </c>
      <c r="G119" t="s">
        <v>66</v>
      </c>
      <c r="H119" t="s">
        <v>67</v>
      </c>
      <c r="I119" t="s">
        <v>31</v>
      </c>
      <c r="J119" t="s">
        <v>309</v>
      </c>
      <c r="K119" t="s">
        <v>33</v>
      </c>
      <c r="L119" t="s">
        <v>34</v>
      </c>
      <c r="M119" t="s">
        <v>150</v>
      </c>
      <c r="N119" t="s">
        <v>57</v>
      </c>
      <c r="O119" s="3">
        <v>448.22</v>
      </c>
      <c r="P119">
        <v>4</v>
      </c>
      <c r="Q119" s="4">
        <v>0.2</v>
      </c>
      <c r="R119" s="3">
        <v>1434.3040000000001</v>
      </c>
      <c r="S119" s="3">
        <v>249.04</v>
      </c>
      <c r="T119" s="3">
        <v>996.16</v>
      </c>
      <c r="U119" s="3">
        <v>438.14400000000012</v>
      </c>
      <c r="V119" s="5">
        <v>0.30547498996028744</v>
      </c>
      <c r="W119">
        <v>1</v>
      </c>
      <c r="X119" t="s">
        <v>37</v>
      </c>
      <c r="Y119" s="6">
        <v>5</v>
      </c>
    </row>
    <row r="120" spans="1:25">
      <c r="A120" t="s">
        <v>310</v>
      </c>
      <c r="B120" s="2">
        <v>45065</v>
      </c>
      <c r="C120">
        <v>2023</v>
      </c>
      <c r="D120" t="s">
        <v>229</v>
      </c>
      <c r="E120" t="s">
        <v>278</v>
      </c>
      <c r="F120" t="s">
        <v>65</v>
      </c>
      <c r="G120" t="s">
        <v>66</v>
      </c>
      <c r="H120" t="s">
        <v>67</v>
      </c>
      <c r="I120" t="s">
        <v>78</v>
      </c>
      <c r="J120" t="s">
        <v>311</v>
      </c>
      <c r="K120" t="s">
        <v>47</v>
      </c>
      <c r="L120" t="s">
        <v>55</v>
      </c>
      <c r="M120" t="s">
        <v>69</v>
      </c>
      <c r="N120" t="s">
        <v>57</v>
      </c>
      <c r="O120" s="3">
        <v>42.11</v>
      </c>
      <c r="P120">
        <v>10</v>
      </c>
      <c r="Q120" s="4">
        <v>0</v>
      </c>
      <c r="R120" s="3">
        <v>421.1</v>
      </c>
      <c r="S120" s="3">
        <v>21.57</v>
      </c>
      <c r="T120" s="3">
        <v>215.7</v>
      </c>
      <c r="U120" s="3">
        <v>205.40000000000003</v>
      </c>
      <c r="V120" s="5">
        <v>0.48777012586084073</v>
      </c>
      <c r="W120">
        <v>1</v>
      </c>
      <c r="X120" t="s">
        <v>37</v>
      </c>
      <c r="Y120" s="6">
        <v>5</v>
      </c>
    </row>
    <row r="121" spans="1:25">
      <c r="A121" t="s">
        <v>312</v>
      </c>
      <c r="B121" s="2">
        <v>45067</v>
      </c>
      <c r="C121">
        <v>2023</v>
      </c>
      <c r="D121" t="s">
        <v>229</v>
      </c>
      <c r="E121" t="s">
        <v>278</v>
      </c>
      <c r="F121" t="s">
        <v>39</v>
      </c>
      <c r="G121" t="s">
        <v>111</v>
      </c>
      <c r="H121" t="s">
        <v>112</v>
      </c>
      <c r="I121" t="s">
        <v>78</v>
      </c>
      <c r="J121" t="s">
        <v>313</v>
      </c>
      <c r="K121" t="s">
        <v>47</v>
      </c>
      <c r="L121" t="s">
        <v>48</v>
      </c>
      <c r="M121" t="s">
        <v>49</v>
      </c>
      <c r="N121" t="s">
        <v>57</v>
      </c>
      <c r="O121" s="3">
        <v>32.56</v>
      </c>
      <c r="P121">
        <v>3</v>
      </c>
      <c r="Q121" s="4">
        <v>0</v>
      </c>
      <c r="R121" s="3">
        <v>97.68</v>
      </c>
      <c r="S121" s="3">
        <v>13.79</v>
      </c>
      <c r="T121" s="3">
        <v>41.37</v>
      </c>
      <c r="U121" s="3">
        <v>56.310000000000009</v>
      </c>
      <c r="V121" s="5">
        <v>0.57647420147420148</v>
      </c>
      <c r="W121">
        <v>3</v>
      </c>
      <c r="X121" t="s">
        <v>37</v>
      </c>
      <c r="Y121" s="6">
        <v>5</v>
      </c>
    </row>
    <row r="122" spans="1:25">
      <c r="A122" t="s">
        <v>314</v>
      </c>
      <c r="B122" s="2">
        <v>45069</v>
      </c>
      <c r="C122">
        <v>2023</v>
      </c>
      <c r="D122" t="s">
        <v>229</v>
      </c>
      <c r="E122" t="s">
        <v>278</v>
      </c>
      <c r="F122" t="s">
        <v>28</v>
      </c>
      <c r="G122" t="s">
        <v>29</v>
      </c>
      <c r="H122" t="s">
        <v>30</v>
      </c>
      <c r="I122" t="s">
        <v>31</v>
      </c>
      <c r="J122" t="s">
        <v>290</v>
      </c>
      <c r="K122" t="s">
        <v>33</v>
      </c>
      <c r="L122" t="s">
        <v>34</v>
      </c>
      <c r="M122" t="s">
        <v>150</v>
      </c>
      <c r="N122" t="s">
        <v>44</v>
      </c>
      <c r="O122" s="3">
        <v>429.35</v>
      </c>
      <c r="P122">
        <v>3</v>
      </c>
      <c r="Q122" s="4">
        <v>0</v>
      </c>
      <c r="R122" s="3">
        <v>1288.0500000000002</v>
      </c>
      <c r="S122" s="3">
        <v>245.33</v>
      </c>
      <c r="T122" s="3">
        <v>735.99</v>
      </c>
      <c r="U122" s="3">
        <v>552.06000000000017</v>
      </c>
      <c r="V122" s="5">
        <v>0.42860137417025745</v>
      </c>
      <c r="W122">
        <v>7</v>
      </c>
      <c r="X122" t="s">
        <v>37</v>
      </c>
      <c r="Y122" s="6">
        <v>4</v>
      </c>
    </row>
    <row r="123" spans="1:25">
      <c r="A123" t="s">
        <v>315</v>
      </c>
      <c r="B123" s="2">
        <v>45069</v>
      </c>
      <c r="C123">
        <v>2023</v>
      </c>
      <c r="D123" t="s">
        <v>229</v>
      </c>
      <c r="E123" t="s">
        <v>278</v>
      </c>
      <c r="F123" t="s">
        <v>28</v>
      </c>
      <c r="G123" t="s">
        <v>29</v>
      </c>
      <c r="H123" t="s">
        <v>106</v>
      </c>
      <c r="I123" t="s">
        <v>42</v>
      </c>
      <c r="J123" t="s">
        <v>307</v>
      </c>
      <c r="K123" t="s">
        <v>61</v>
      </c>
      <c r="L123" t="s">
        <v>80</v>
      </c>
      <c r="M123" t="s">
        <v>81</v>
      </c>
      <c r="N123" t="s">
        <v>36</v>
      </c>
      <c r="O123" s="3">
        <v>967.87</v>
      </c>
      <c r="P123">
        <v>1</v>
      </c>
      <c r="Q123" s="4">
        <v>0</v>
      </c>
      <c r="R123" s="3">
        <v>967.87</v>
      </c>
      <c r="S123" s="3">
        <v>665.41</v>
      </c>
      <c r="T123" s="3">
        <v>665.41</v>
      </c>
      <c r="U123" s="3">
        <v>302.46000000000004</v>
      </c>
      <c r="V123" s="5">
        <v>0.31250064574787939</v>
      </c>
      <c r="W123">
        <v>3</v>
      </c>
      <c r="X123" t="s">
        <v>37</v>
      </c>
      <c r="Y123" s="6">
        <v>5</v>
      </c>
    </row>
    <row r="124" spans="1:25">
      <c r="A124" t="s">
        <v>316</v>
      </c>
      <c r="B124" s="2">
        <v>45070</v>
      </c>
      <c r="C124">
        <v>2023</v>
      </c>
      <c r="D124" t="s">
        <v>229</v>
      </c>
      <c r="E124" t="s">
        <v>278</v>
      </c>
      <c r="F124" t="s">
        <v>28</v>
      </c>
      <c r="G124" t="s">
        <v>29</v>
      </c>
      <c r="H124" t="s">
        <v>60</v>
      </c>
      <c r="I124" t="s">
        <v>71</v>
      </c>
      <c r="J124" t="s">
        <v>317</v>
      </c>
      <c r="K124" t="s">
        <v>61</v>
      </c>
      <c r="L124" t="s">
        <v>62</v>
      </c>
      <c r="M124" t="s">
        <v>195</v>
      </c>
      <c r="N124" t="s">
        <v>36</v>
      </c>
      <c r="O124" s="3">
        <v>71.3</v>
      </c>
      <c r="P124">
        <v>2</v>
      </c>
      <c r="Q124" s="4">
        <v>0.15</v>
      </c>
      <c r="R124" s="3">
        <v>121.21</v>
      </c>
      <c r="S124" s="3">
        <v>32.47</v>
      </c>
      <c r="T124" s="3">
        <v>64.94</v>
      </c>
      <c r="U124" s="3">
        <v>56.269999999999996</v>
      </c>
      <c r="V124" s="5">
        <v>0.46423562412342217</v>
      </c>
      <c r="W124">
        <v>5</v>
      </c>
      <c r="X124" t="s">
        <v>37</v>
      </c>
      <c r="Y124" s="6">
        <v>4</v>
      </c>
    </row>
    <row r="125" spans="1:25">
      <c r="A125" t="s">
        <v>318</v>
      </c>
      <c r="B125" s="2">
        <v>45071</v>
      </c>
      <c r="C125">
        <v>2023</v>
      </c>
      <c r="D125" t="s">
        <v>229</v>
      </c>
      <c r="E125" t="s">
        <v>278</v>
      </c>
      <c r="F125" t="s">
        <v>39</v>
      </c>
      <c r="G125" t="s">
        <v>40</v>
      </c>
      <c r="H125" t="s">
        <v>41</v>
      </c>
      <c r="I125" t="s">
        <v>31</v>
      </c>
      <c r="J125" t="s">
        <v>264</v>
      </c>
      <c r="K125" t="s">
        <v>47</v>
      </c>
      <c r="L125" t="s">
        <v>48</v>
      </c>
      <c r="M125" t="s">
        <v>49</v>
      </c>
      <c r="N125" t="s">
        <v>44</v>
      </c>
      <c r="O125" s="3">
        <v>31.08</v>
      </c>
      <c r="P125">
        <v>1</v>
      </c>
      <c r="Q125" s="4">
        <v>0</v>
      </c>
      <c r="R125" s="3">
        <v>31.08</v>
      </c>
      <c r="S125" s="3">
        <v>13.95</v>
      </c>
      <c r="T125" s="3">
        <v>13.95</v>
      </c>
      <c r="U125" s="3">
        <v>17.13</v>
      </c>
      <c r="V125" s="5">
        <v>0.55115830115830111</v>
      </c>
      <c r="W125">
        <v>3</v>
      </c>
      <c r="X125" t="s">
        <v>37</v>
      </c>
      <c r="Y125" s="6">
        <v>5</v>
      </c>
    </row>
    <row r="126" spans="1:25">
      <c r="A126" t="s">
        <v>319</v>
      </c>
      <c r="B126" s="2">
        <v>45072</v>
      </c>
      <c r="C126">
        <v>2023</v>
      </c>
      <c r="D126" t="s">
        <v>229</v>
      </c>
      <c r="E126" t="s">
        <v>278</v>
      </c>
      <c r="F126" t="s">
        <v>39</v>
      </c>
      <c r="G126" t="s">
        <v>111</v>
      </c>
      <c r="H126" t="s">
        <v>112</v>
      </c>
      <c r="I126" t="s">
        <v>71</v>
      </c>
      <c r="J126" t="s">
        <v>320</v>
      </c>
      <c r="K126" t="s">
        <v>47</v>
      </c>
      <c r="L126" t="s">
        <v>114</v>
      </c>
      <c r="M126" t="s">
        <v>115</v>
      </c>
      <c r="N126" t="s">
        <v>36</v>
      </c>
      <c r="O126" s="3">
        <v>17.18</v>
      </c>
      <c r="P126">
        <v>3</v>
      </c>
      <c r="Q126" s="4">
        <v>0.05</v>
      </c>
      <c r="R126" s="3">
        <v>48.962999999999994</v>
      </c>
      <c r="S126" s="3">
        <v>7.04</v>
      </c>
      <c r="T126" s="3">
        <v>21.12</v>
      </c>
      <c r="U126" s="3">
        <v>27.842999999999993</v>
      </c>
      <c r="V126" s="5">
        <v>0.56865388150235885</v>
      </c>
      <c r="W126">
        <v>2</v>
      </c>
      <c r="X126" t="s">
        <v>37</v>
      </c>
      <c r="Y126" s="6">
        <v>5</v>
      </c>
    </row>
    <row r="127" spans="1:25">
      <c r="A127" t="s">
        <v>321</v>
      </c>
      <c r="B127" s="2">
        <v>45074</v>
      </c>
      <c r="C127">
        <v>2023</v>
      </c>
      <c r="D127" t="s">
        <v>229</v>
      </c>
      <c r="E127" t="s">
        <v>278</v>
      </c>
      <c r="F127" t="s">
        <v>65</v>
      </c>
      <c r="G127" t="s">
        <v>76</v>
      </c>
      <c r="H127" t="s">
        <v>126</v>
      </c>
      <c r="I127" t="s">
        <v>42</v>
      </c>
      <c r="J127" t="s">
        <v>322</v>
      </c>
      <c r="K127" t="s">
        <v>61</v>
      </c>
      <c r="L127" t="s">
        <v>62</v>
      </c>
      <c r="M127" t="s">
        <v>63</v>
      </c>
      <c r="N127" t="s">
        <v>44</v>
      </c>
      <c r="O127" s="3">
        <v>89.52</v>
      </c>
      <c r="P127">
        <v>5</v>
      </c>
      <c r="Q127" s="4">
        <v>0.05</v>
      </c>
      <c r="R127" s="3">
        <v>425.21999999999997</v>
      </c>
      <c r="S127" s="3">
        <v>44.84</v>
      </c>
      <c r="T127" s="3">
        <v>224.20000000000002</v>
      </c>
      <c r="U127" s="3">
        <v>201.01999999999995</v>
      </c>
      <c r="V127" s="5">
        <v>0.47274352100089356</v>
      </c>
      <c r="W127">
        <v>5</v>
      </c>
      <c r="X127" t="s">
        <v>37</v>
      </c>
      <c r="Y127" s="6">
        <v>4</v>
      </c>
    </row>
    <row r="128" spans="1:25">
      <c r="A128" t="s">
        <v>323</v>
      </c>
      <c r="B128" s="2">
        <v>45076</v>
      </c>
      <c r="C128">
        <v>2023</v>
      </c>
      <c r="D128" t="s">
        <v>229</v>
      </c>
      <c r="E128" t="s">
        <v>278</v>
      </c>
      <c r="F128" t="s">
        <v>65</v>
      </c>
      <c r="G128" t="s">
        <v>76</v>
      </c>
      <c r="H128" t="s">
        <v>126</v>
      </c>
      <c r="I128" t="s">
        <v>71</v>
      </c>
      <c r="J128" t="s">
        <v>324</v>
      </c>
      <c r="K128" t="s">
        <v>47</v>
      </c>
      <c r="L128" t="s">
        <v>55</v>
      </c>
      <c r="M128" t="s">
        <v>69</v>
      </c>
      <c r="N128" t="s">
        <v>44</v>
      </c>
      <c r="O128" s="3">
        <v>42.72</v>
      </c>
      <c r="P128">
        <v>8</v>
      </c>
      <c r="Q128" s="4">
        <v>0</v>
      </c>
      <c r="R128" s="3">
        <v>341.76</v>
      </c>
      <c r="S128" s="3">
        <v>21.35</v>
      </c>
      <c r="T128" s="3">
        <v>170.8</v>
      </c>
      <c r="U128" s="3">
        <v>170.95999999999998</v>
      </c>
      <c r="V128" s="5">
        <v>0.50023408239700373</v>
      </c>
      <c r="W128">
        <v>5</v>
      </c>
      <c r="X128" t="s">
        <v>37</v>
      </c>
      <c r="Y128" s="6">
        <v>5</v>
      </c>
    </row>
    <row r="129" spans="1:25">
      <c r="A129" t="s">
        <v>325</v>
      </c>
      <c r="B129" s="2">
        <v>45077</v>
      </c>
      <c r="C129">
        <v>2023</v>
      </c>
      <c r="D129" t="s">
        <v>229</v>
      </c>
      <c r="E129" t="s">
        <v>278</v>
      </c>
      <c r="F129" t="s">
        <v>39</v>
      </c>
      <c r="G129" t="s">
        <v>111</v>
      </c>
      <c r="H129" t="s">
        <v>112</v>
      </c>
      <c r="I129" t="s">
        <v>71</v>
      </c>
      <c r="J129" t="s">
        <v>225</v>
      </c>
      <c r="K129" t="s">
        <v>61</v>
      </c>
      <c r="L129" t="s">
        <v>84</v>
      </c>
      <c r="M129" t="s">
        <v>135</v>
      </c>
      <c r="N129" t="s">
        <v>44</v>
      </c>
      <c r="O129" s="3">
        <v>936.73</v>
      </c>
      <c r="P129">
        <v>4</v>
      </c>
      <c r="Q129" s="4">
        <v>0.2</v>
      </c>
      <c r="R129" s="3">
        <v>2997.5360000000001</v>
      </c>
      <c r="S129" s="3">
        <v>578.13</v>
      </c>
      <c r="T129" s="3">
        <v>2312.52</v>
      </c>
      <c r="U129" s="3">
        <v>685.01600000000008</v>
      </c>
      <c r="V129" s="5">
        <v>0.22852636298613263</v>
      </c>
      <c r="W129">
        <v>2</v>
      </c>
      <c r="X129" t="s">
        <v>37</v>
      </c>
      <c r="Y129" s="6">
        <v>5</v>
      </c>
    </row>
    <row r="130" spans="1:25">
      <c r="A130" t="s">
        <v>326</v>
      </c>
      <c r="B130" s="2">
        <v>45077</v>
      </c>
      <c r="C130">
        <v>2023</v>
      </c>
      <c r="D130" t="s">
        <v>229</v>
      </c>
      <c r="E130" t="s">
        <v>278</v>
      </c>
      <c r="F130" t="s">
        <v>51</v>
      </c>
      <c r="G130" t="s">
        <v>52</v>
      </c>
      <c r="H130" t="s">
        <v>53</v>
      </c>
      <c r="I130" t="s">
        <v>31</v>
      </c>
      <c r="J130" t="s">
        <v>107</v>
      </c>
      <c r="K130" t="s">
        <v>33</v>
      </c>
      <c r="L130" t="s">
        <v>73</v>
      </c>
      <c r="M130" t="s">
        <v>74</v>
      </c>
      <c r="N130" t="s">
        <v>57</v>
      </c>
      <c r="O130" s="3">
        <v>692.77</v>
      </c>
      <c r="P130">
        <v>5</v>
      </c>
      <c r="Q130" s="4">
        <v>0.05</v>
      </c>
      <c r="R130" s="3">
        <v>3290.6574999999998</v>
      </c>
      <c r="S130" s="3">
        <v>408.34</v>
      </c>
      <c r="T130" s="3">
        <v>2041.6999999999998</v>
      </c>
      <c r="U130" s="3">
        <v>1248.9575</v>
      </c>
      <c r="V130" s="5">
        <v>0.37954648880960723</v>
      </c>
      <c r="W130">
        <v>4</v>
      </c>
      <c r="X130" t="s">
        <v>37</v>
      </c>
      <c r="Y130" s="6">
        <v>5</v>
      </c>
    </row>
    <row r="131" spans="1:25">
      <c r="A131" t="s">
        <v>327</v>
      </c>
      <c r="B131" s="2">
        <v>45081</v>
      </c>
      <c r="C131">
        <v>2023</v>
      </c>
      <c r="D131" t="s">
        <v>229</v>
      </c>
      <c r="E131" t="s">
        <v>328</v>
      </c>
      <c r="F131" t="s">
        <v>51</v>
      </c>
      <c r="G131" t="s">
        <v>52</v>
      </c>
      <c r="H131" t="s">
        <v>102</v>
      </c>
      <c r="I131" t="s">
        <v>31</v>
      </c>
      <c r="J131" t="s">
        <v>109</v>
      </c>
      <c r="K131" t="s">
        <v>47</v>
      </c>
      <c r="L131" t="s">
        <v>55</v>
      </c>
      <c r="M131" t="s">
        <v>56</v>
      </c>
      <c r="N131" t="s">
        <v>36</v>
      </c>
      <c r="O131" s="3">
        <v>39.46</v>
      </c>
      <c r="P131">
        <v>12</v>
      </c>
      <c r="Q131" s="4">
        <v>0.1</v>
      </c>
      <c r="R131" s="3">
        <v>426.16800000000001</v>
      </c>
      <c r="S131" s="3">
        <v>17.48</v>
      </c>
      <c r="T131" s="3">
        <v>209.76</v>
      </c>
      <c r="U131" s="3">
        <v>216.40800000000002</v>
      </c>
      <c r="V131" s="5">
        <v>0.50779974094723213</v>
      </c>
      <c r="W131">
        <v>1</v>
      </c>
      <c r="X131" t="s">
        <v>37</v>
      </c>
      <c r="Y131" s="6">
        <v>5</v>
      </c>
    </row>
    <row r="132" spans="1:25">
      <c r="A132" t="s">
        <v>329</v>
      </c>
      <c r="B132" s="2">
        <v>45081</v>
      </c>
      <c r="C132">
        <v>2023</v>
      </c>
      <c r="D132" t="s">
        <v>229</v>
      </c>
      <c r="E132" t="s">
        <v>328</v>
      </c>
      <c r="F132" t="s">
        <v>51</v>
      </c>
      <c r="G132" t="s">
        <v>52</v>
      </c>
      <c r="H132" t="s">
        <v>53</v>
      </c>
      <c r="I132" t="s">
        <v>42</v>
      </c>
      <c r="J132" t="s">
        <v>330</v>
      </c>
      <c r="K132" t="s">
        <v>61</v>
      </c>
      <c r="L132" t="s">
        <v>80</v>
      </c>
      <c r="M132" t="s">
        <v>187</v>
      </c>
      <c r="N132" t="s">
        <v>44</v>
      </c>
      <c r="O132" s="3">
        <v>1319.49</v>
      </c>
      <c r="P132">
        <v>3</v>
      </c>
      <c r="Q132" s="4">
        <v>0.2</v>
      </c>
      <c r="R132" s="3">
        <v>3166.7760000000003</v>
      </c>
      <c r="S132" s="3">
        <v>836.32</v>
      </c>
      <c r="T132" s="3">
        <v>2508.96</v>
      </c>
      <c r="U132" s="3">
        <v>657.81600000000026</v>
      </c>
      <c r="V132" s="5">
        <v>0.20772419646984827</v>
      </c>
      <c r="W132">
        <v>9</v>
      </c>
      <c r="X132" t="s">
        <v>37</v>
      </c>
      <c r="Y132" s="6">
        <v>3</v>
      </c>
    </row>
    <row r="133" spans="1:25">
      <c r="A133" t="s">
        <v>331</v>
      </c>
      <c r="B133" s="2">
        <v>45084</v>
      </c>
      <c r="C133">
        <v>2023</v>
      </c>
      <c r="D133" t="s">
        <v>229</v>
      </c>
      <c r="E133" t="s">
        <v>328</v>
      </c>
      <c r="F133" t="s">
        <v>28</v>
      </c>
      <c r="G133" t="s">
        <v>29</v>
      </c>
      <c r="H133" t="s">
        <v>60</v>
      </c>
      <c r="I133" t="s">
        <v>31</v>
      </c>
      <c r="J133" t="s">
        <v>264</v>
      </c>
      <c r="K133" t="s">
        <v>47</v>
      </c>
      <c r="L133" t="s">
        <v>55</v>
      </c>
      <c r="M133" t="s">
        <v>56</v>
      </c>
      <c r="N133" t="s">
        <v>57</v>
      </c>
      <c r="O133" s="3">
        <v>38.99</v>
      </c>
      <c r="P133">
        <v>12</v>
      </c>
      <c r="Q133" s="4">
        <v>0.15</v>
      </c>
      <c r="R133" s="3">
        <v>397.69799999999998</v>
      </c>
      <c r="S133" s="3">
        <v>16.73</v>
      </c>
      <c r="T133" s="3">
        <v>200.76</v>
      </c>
      <c r="U133" s="3">
        <v>196.93799999999999</v>
      </c>
      <c r="V133" s="5">
        <v>0.49519484634069066</v>
      </c>
      <c r="W133">
        <v>1</v>
      </c>
      <c r="X133" t="s">
        <v>37</v>
      </c>
      <c r="Y133" s="6">
        <v>5</v>
      </c>
    </row>
    <row r="134" spans="1:25">
      <c r="A134" t="s">
        <v>332</v>
      </c>
      <c r="B134" s="2">
        <v>45084</v>
      </c>
      <c r="C134">
        <v>2023</v>
      </c>
      <c r="D134" t="s">
        <v>229</v>
      </c>
      <c r="E134" t="s">
        <v>328</v>
      </c>
      <c r="F134" t="s">
        <v>39</v>
      </c>
      <c r="G134" t="s">
        <v>111</v>
      </c>
      <c r="H134" t="s">
        <v>112</v>
      </c>
      <c r="I134" t="s">
        <v>78</v>
      </c>
      <c r="J134" t="s">
        <v>333</v>
      </c>
      <c r="K134" t="s">
        <v>61</v>
      </c>
      <c r="L134" t="s">
        <v>84</v>
      </c>
      <c r="M134" t="s">
        <v>135</v>
      </c>
      <c r="N134" t="s">
        <v>36</v>
      </c>
      <c r="O134" s="3">
        <v>857.9</v>
      </c>
      <c r="P134">
        <v>1</v>
      </c>
      <c r="Q134" s="4">
        <v>0.15</v>
      </c>
      <c r="R134" s="3">
        <v>729.21499999999992</v>
      </c>
      <c r="S134" s="3">
        <v>568.77</v>
      </c>
      <c r="T134" s="3">
        <v>568.77</v>
      </c>
      <c r="U134" s="3">
        <v>160.44499999999994</v>
      </c>
      <c r="V134" s="5">
        <v>0.22002427267678251</v>
      </c>
      <c r="W134">
        <v>3</v>
      </c>
      <c r="X134" t="s">
        <v>37</v>
      </c>
      <c r="Y134" s="6">
        <v>5</v>
      </c>
    </row>
    <row r="135" spans="1:25">
      <c r="A135" t="s">
        <v>334</v>
      </c>
      <c r="B135" s="2">
        <v>45086</v>
      </c>
      <c r="C135">
        <v>2023</v>
      </c>
      <c r="D135" t="s">
        <v>229</v>
      </c>
      <c r="E135" t="s">
        <v>328</v>
      </c>
      <c r="F135" t="s">
        <v>51</v>
      </c>
      <c r="G135" t="s">
        <v>52</v>
      </c>
      <c r="H135" t="s">
        <v>102</v>
      </c>
      <c r="I135" t="s">
        <v>71</v>
      </c>
      <c r="J135" t="s">
        <v>335</v>
      </c>
      <c r="K135" t="s">
        <v>47</v>
      </c>
      <c r="L135" t="s">
        <v>114</v>
      </c>
      <c r="M135" t="s">
        <v>120</v>
      </c>
      <c r="N135" t="s">
        <v>44</v>
      </c>
      <c r="O135" s="3">
        <v>25.18</v>
      </c>
      <c r="P135">
        <v>10</v>
      </c>
      <c r="Q135" s="4">
        <v>0.2</v>
      </c>
      <c r="R135" s="3">
        <v>201.44000000000003</v>
      </c>
      <c r="S135" s="3">
        <v>10.73</v>
      </c>
      <c r="T135" s="3">
        <v>107.30000000000001</v>
      </c>
      <c r="U135" s="3">
        <v>94.140000000000015</v>
      </c>
      <c r="V135" s="5">
        <v>0.46733518665607626</v>
      </c>
      <c r="W135">
        <v>9</v>
      </c>
      <c r="X135" t="s">
        <v>37</v>
      </c>
      <c r="Y135" s="6">
        <v>4</v>
      </c>
    </row>
    <row r="136" spans="1:25">
      <c r="A136" t="s">
        <v>336</v>
      </c>
      <c r="B136" s="2">
        <v>45086</v>
      </c>
      <c r="C136">
        <v>2023</v>
      </c>
      <c r="D136" t="s">
        <v>229</v>
      </c>
      <c r="E136" t="s">
        <v>328</v>
      </c>
      <c r="F136" t="s">
        <v>51</v>
      </c>
      <c r="G136" t="s">
        <v>52</v>
      </c>
      <c r="H136" t="s">
        <v>53</v>
      </c>
      <c r="I136" t="s">
        <v>71</v>
      </c>
      <c r="J136" t="s">
        <v>144</v>
      </c>
      <c r="K136" t="s">
        <v>61</v>
      </c>
      <c r="L136" t="s">
        <v>80</v>
      </c>
      <c r="M136" t="s">
        <v>187</v>
      </c>
      <c r="N136" t="s">
        <v>36</v>
      </c>
      <c r="O136" s="3">
        <v>1318.3</v>
      </c>
      <c r="P136">
        <v>2</v>
      </c>
      <c r="Q136" s="4">
        <v>0.2</v>
      </c>
      <c r="R136" s="3">
        <v>2109.2800000000002</v>
      </c>
      <c r="S136" s="3">
        <v>832.25</v>
      </c>
      <c r="T136" s="3">
        <v>1664.5</v>
      </c>
      <c r="U136" s="3">
        <v>444.7800000000002</v>
      </c>
      <c r="V136" s="5">
        <v>0.21086816354395821</v>
      </c>
      <c r="W136">
        <v>8</v>
      </c>
      <c r="X136" t="s">
        <v>37</v>
      </c>
      <c r="Y136" s="6">
        <v>4</v>
      </c>
    </row>
    <row r="137" spans="1:25">
      <c r="A137" t="s">
        <v>337</v>
      </c>
      <c r="B137" s="2">
        <v>45086</v>
      </c>
      <c r="C137">
        <v>2023</v>
      </c>
      <c r="D137" t="s">
        <v>229</v>
      </c>
      <c r="E137" t="s">
        <v>328</v>
      </c>
      <c r="F137" t="s">
        <v>65</v>
      </c>
      <c r="G137" t="s">
        <v>76</v>
      </c>
      <c r="H137" t="s">
        <v>77</v>
      </c>
      <c r="I137" t="s">
        <v>42</v>
      </c>
      <c r="J137" t="s">
        <v>338</v>
      </c>
      <c r="K137" t="s">
        <v>47</v>
      </c>
      <c r="L137" t="s">
        <v>55</v>
      </c>
      <c r="M137" t="s">
        <v>56</v>
      </c>
      <c r="N137" t="s">
        <v>36</v>
      </c>
      <c r="O137" s="3">
        <v>40.67</v>
      </c>
      <c r="P137">
        <v>3</v>
      </c>
      <c r="Q137" s="4">
        <v>0</v>
      </c>
      <c r="R137" s="3">
        <v>122.01</v>
      </c>
      <c r="S137" s="3">
        <v>16.829999999999998</v>
      </c>
      <c r="T137" s="3">
        <v>50.489999999999995</v>
      </c>
      <c r="U137" s="3">
        <v>71.52000000000001</v>
      </c>
      <c r="V137" s="5">
        <v>0.58618146053602171</v>
      </c>
      <c r="W137">
        <v>6</v>
      </c>
      <c r="X137" t="s">
        <v>37</v>
      </c>
      <c r="Y137" s="6">
        <v>4</v>
      </c>
    </row>
    <row r="138" spans="1:25">
      <c r="A138" t="s">
        <v>339</v>
      </c>
      <c r="B138" s="2">
        <v>45088</v>
      </c>
      <c r="C138">
        <v>2023</v>
      </c>
      <c r="D138" t="s">
        <v>229</v>
      </c>
      <c r="E138" t="s">
        <v>328</v>
      </c>
      <c r="F138" t="s">
        <v>51</v>
      </c>
      <c r="G138" t="s">
        <v>52</v>
      </c>
      <c r="H138" t="s">
        <v>53</v>
      </c>
      <c r="I138" t="s">
        <v>71</v>
      </c>
      <c r="J138" t="s">
        <v>164</v>
      </c>
      <c r="K138" t="s">
        <v>47</v>
      </c>
      <c r="L138" t="s">
        <v>114</v>
      </c>
      <c r="M138" t="s">
        <v>115</v>
      </c>
      <c r="N138" t="s">
        <v>44</v>
      </c>
      <c r="O138" s="3">
        <v>18.079999999999998</v>
      </c>
      <c r="P138">
        <v>4</v>
      </c>
      <c r="Q138" s="4">
        <v>0</v>
      </c>
      <c r="R138" s="3">
        <v>72.319999999999993</v>
      </c>
      <c r="S138" s="3">
        <v>6.91</v>
      </c>
      <c r="T138" s="3">
        <v>27.64</v>
      </c>
      <c r="U138" s="3">
        <v>44.679999999999993</v>
      </c>
      <c r="V138" s="5">
        <v>0.61780973451327426</v>
      </c>
      <c r="W138">
        <v>8</v>
      </c>
      <c r="X138" t="s">
        <v>37</v>
      </c>
      <c r="Y138" s="6">
        <v>4</v>
      </c>
    </row>
    <row r="139" spans="1:25">
      <c r="A139" t="s">
        <v>340</v>
      </c>
      <c r="B139" s="2">
        <v>45090</v>
      </c>
      <c r="C139">
        <v>2023</v>
      </c>
      <c r="D139" t="s">
        <v>229</v>
      </c>
      <c r="E139" t="s">
        <v>328</v>
      </c>
      <c r="F139" t="s">
        <v>65</v>
      </c>
      <c r="G139" t="s">
        <v>76</v>
      </c>
      <c r="H139" t="s">
        <v>77</v>
      </c>
      <c r="I139" t="s">
        <v>31</v>
      </c>
      <c r="J139" t="s">
        <v>95</v>
      </c>
      <c r="K139" t="s">
        <v>33</v>
      </c>
      <c r="L139" t="s">
        <v>73</v>
      </c>
      <c r="M139" t="s">
        <v>138</v>
      </c>
      <c r="N139" t="s">
        <v>44</v>
      </c>
      <c r="O139" s="3">
        <v>340.82</v>
      </c>
      <c r="P139">
        <v>4</v>
      </c>
      <c r="Q139" s="4">
        <v>0.15</v>
      </c>
      <c r="R139" s="3">
        <v>1158.788</v>
      </c>
      <c r="S139" s="3">
        <v>182.04</v>
      </c>
      <c r="T139" s="3">
        <v>728.16</v>
      </c>
      <c r="U139" s="3">
        <v>430.62800000000004</v>
      </c>
      <c r="V139" s="5">
        <v>0.37161931259212216</v>
      </c>
      <c r="W139">
        <v>6</v>
      </c>
      <c r="X139" t="s">
        <v>37</v>
      </c>
      <c r="Y139" s="6">
        <v>4</v>
      </c>
    </row>
    <row r="140" spans="1:25">
      <c r="A140" t="s">
        <v>341</v>
      </c>
      <c r="B140" s="2">
        <v>45090</v>
      </c>
      <c r="C140">
        <v>2023</v>
      </c>
      <c r="D140" t="s">
        <v>229</v>
      </c>
      <c r="E140" t="s">
        <v>328</v>
      </c>
      <c r="F140" t="s">
        <v>65</v>
      </c>
      <c r="G140" t="s">
        <v>76</v>
      </c>
      <c r="H140" t="s">
        <v>126</v>
      </c>
      <c r="I140" t="s">
        <v>78</v>
      </c>
      <c r="J140" t="s">
        <v>342</v>
      </c>
      <c r="K140" t="s">
        <v>61</v>
      </c>
      <c r="L140" t="s">
        <v>62</v>
      </c>
      <c r="M140" t="s">
        <v>63</v>
      </c>
      <c r="N140" t="s">
        <v>44</v>
      </c>
      <c r="O140" s="3">
        <v>88.84</v>
      </c>
      <c r="P140">
        <v>1</v>
      </c>
      <c r="Q140" s="4">
        <v>0</v>
      </c>
      <c r="R140" s="3">
        <v>88.84</v>
      </c>
      <c r="S140" s="3">
        <v>43.34</v>
      </c>
      <c r="T140" s="3">
        <v>43.34</v>
      </c>
      <c r="U140" s="3">
        <v>45.5</v>
      </c>
      <c r="V140" s="5">
        <v>0.51215668617739751</v>
      </c>
      <c r="W140">
        <v>7</v>
      </c>
      <c r="X140" t="s">
        <v>37</v>
      </c>
      <c r="Y140" s="6">
        <v>4</v>
      </c>
    </row>
    <row r="141" spans="1:25">
      <c r="A141" t="s">
        <v>343</v>
      </c>
      <c r="B141" s="2">
        <v>45090</v>
      </c>
      <c r="C141">
        <v>2023</v>
      </c>
      <c r="D141" t="s">
        <v>229</v>
      </c>
      <c r="E141" t="s">
        <v>328</v>
      </c>
      <c r="F141" t="s">
        <v>28</v>
      </c>
      <c r="G141" t="s">
        <v>29</v>
      </c>
      <c r="H141" t="s">
        <v>30</v>
      </c>
      <c r="I141" t="s">
        <v>31</v>
      </c>
      <c r="J141" t="s">
        <v>344</v>
      </c>
      <c r="K141" t="s">
        <v>61</v>
      </c>
      <c r="L141" t="s">
        <v>62</v>
      </c>
      <c r="M141" t="s">
        <v>195</v>
      </c>
      <c r="N141" t="s">
        <v>44</v>
      </c>
      <c r="O141" s="3">
        <v>75.81</v>
      </c>
      <c r="P141">
        <v>3</v>
      </c>
      <c r="Q141" s="4">
        <v>0.05</v>
      </c>
      <c r="R141" s="3">
        <v>216.05850000000001</v>
      </c>
      <c r="S141" s="3">
        <v>32.869999999999997</v>
      </c>
      <c r="T141" s="3">
        <v>98.609999999999985</v>
      </c>
      <c r="U141" s="3">
        <v>117.44850000000002</v>
      </c>
      <c r="V141" s="5">
        <v>0.54359583168447445</v>
      </c>
      <c r="W141">
        <v>7</v>
      </c>
      <c r="X141" t="s">
        <v>37</v>
      </c>
      <c r="Y141" s="6">
        <v>4</v>
      </c>
    </row>
    <row r="142" spans="1:25">
      <c r="A142" t="s">
        <v>345</v>
      </c>
      <c r="B142" s="2">
        <v>45092</v>
      </c>
      <c r="C142">
        <v>2023</v>
      </c>
      <c r="D142" t="s">
        <v>229</v>
      </c>
      <c r="E142" t="s">
        <v>328</v>
      </c>
      <c r="F142" t="s">
        <v>28</v>
      </c>
      <c r="G142" t="s">
        <v>29</v>
      </c>
      <c r="H142" t="s">
        <v>106</v>
      </c>
      <c r="I142" t="s">
        <v>71</v>
      </c>
      <c r="J142" t="s">
        <v>346</v>
      </c>
      <c r="K142" t="s">
        <v>47</v>
      </c>
      <c r="L142" t="s">
        <v>48</v>
      </c>
      <c r="M142" t="s">
        <v>49</v>
      </c>
      <c r="N142" t="s">
        <v>57</v>
      </c>
      <c r="O142" s="3">
        <v>31.54</v>
      </c>
      <c r="P142">
        <v>5</v>
      </c>
      <c r="Q142" s="4">
        <v>0.1</v>
      </c>
      <c r="R142" s="3">
        <v>141.93</v>
      </c>
      <c r="S142" s="3">
        <v>14.27</v>
      </c>
      <c r="T142" s="3">
        <v>71.349999999999994</v>
      </c>
      <c r="U142" s="3">
        <v>70.580000000000013</v>
      </c>
      <c r="V142" s="5">
        <v>0.49728739519481441</v>
      </c>
      <c r="W142">
        <v>4</v>
      </c>
      <c r="X142" t="s">
        <v>37</v>
      </c>
      <c r="Y142" s="6">
        <v>5</v>
      </c>
    </row>
    <row r="143" spans="1:25">
      <c r="A143" t="s">
        <v>347</v>
      </c>
      <c r="B143" s="2">
        <v>45092</v>
      </c>
      <c r="C143">
        <v>2023</v>
      </c>
      <c r="D143" t="s">
        <v>229</v>
      </c>
      <c r="E143" t="s">
        <v>328</v>
      </c>
      <c r="F143" t="s">
        <v>51</v>
      </c>
      <c r="G143" t="s">
        <v>97</v>
      </c>
      <c r="H143" t="s">
        <v>98</v>
      </c>
      <c r="I143" t="s">
        <v>71</v>
      </c>
      <c r="J143" t="s">
        <v>348</v>
      </c>
      <c r="K143" t="s">
        <v>33</v>
      </c>
      <c r="L143" t="s">
        <v>88</v>
      </c>
      <c r="M143" t="s">
        <v>100</v>
      </c>
      <c r="N143" t="s">
        <v>57</v>
      </c>
      <c r="O143" s="3">
        <v>312.66000000000003</v>
      </c>
      <c r="P143">
        <v>1</v>
      </c>
      <c r="Q143" s="4">
        <v>0.05</v>
      </c>
      <c r="R143" s="3">
        <v>297.02699999999999</v>
      </c>
      <c r="S143" s="3">
        <v>157.44</v>
      </c>
      <c r="T143" s="3">
        <v>157.44</v>
      </c>
      <c r="U143" s="3">
        <v>139.58699999999999</v>
      </c>
      <c r="V143" s="5">
        <v>0.46994717651930629</v>
      </c>
      <c r="W143">
        <v>8</v>
      </c>
      <c r="X143" t="s">
        <v>37</v>
      </c>
      <c r="Y143" s="6">
        <v>4</v>
      </c>
    </row>
    <row r="144" spans="1:25">
      <c r="A144" t="s">
        <v>349</v>
      </c>
      <c r="B144" s="2">
        <v>45092</v>
      </c>
      <c r="C144">
        <v>2023</v>
      </c>
      <c r="D144" t="s">
        <v>229</v>
      </c>
      <c r="E144" t="s">
        <v>328</v>
      </c>
      <c r="F144" t="s">
        <v>65</v>
      </c>
      <c r="G144" t="s">
        <v>76</v>
      </c>
      <c r="H144" t="s">
        <v>126</v>
      </c>
      <c r="I144" t="s">
        <v>71</v>
      </c>
      <c r="J144" t="s">
        <v>185</v>
      </c>
      <c r="K144" t="s">
        <v>61</v>
      </c>
      <c r="L144" t="s">
        <v>80</v>
      </c>
      <c r="M144" t="s">
        <v>81</v>
      </c>
      <c r="N144" t="s">
        <v>44</v>
      </c>
      <c r="O144" s="3">
        <v>998.35</v>
      </c>
      <c r="P144">
        <v>4</v>
      </c>
      <c r="Q144" s="4">
        <v>0.1</v>
      </c>
      <c r="R144" s="3">
        <v>3594.06</v>
      </c>
      <c r="S144" s="3">
        <v>649.88</v>
      </c>
      <c r="T144" s="3">
        <v>2599.52</v>
      </c>
      <c r="U144" s="3">
        <v>994.54</v>
      </c>
      <c r="V144" s="5">
        <v>0.27671769530836993</v>
      </c>
      <c r="W144">
        <v>4</v>
      </c>
      <c r="X144" t="s">
        <v>37</v>
      </c>
      <c r="Y144" s="6">
        <v>4</v>
      </c>
    </row>
    <row r="145" spans="1:25">
      <c r="A145" t="s">
        <v>350</v>
      </c>
      <c r="B145" s="2">
        <v>45093</v>
      </c>
      <c r="C145">
        <v>2023</v>
      </c>
      <c r="D145" t="s">
        <v>229</v>
      </c>
      <c r="E145" t="s">
        <v>328</v>
      </c>
      <c r="F145" t="s">
        <v>51</v>
      </c>
      <c r="G145" t="s">
        <v>52</v>
      </c>
      <c r="H145" t="s">
        <v>102</v>
      </c>
      <c r="I145" t="s">
        <v>31</v>
      </c>
      <c r="J145" t="s">
        <v>313</v>
      </c>
      <c r="K145" t="s">
        <v>33</v>
      </c>
      <c r="L145" t="s">
        <v>73</v>
      </c>
      <c r="M145" t="s">
        <v>74</v>
      </c>
      <c r="N145" t="s">
        <v>44</v>
      </c>
      <c r="O145" s="3">
        <v>712.39</v>
      </c>
      <c r="P145">
        <v>3</v>
      </c>
      <c r="Q145" s="4">
        <v>0.15</v>
      </c>
      <c r="R145" s="3">
        <v>1816.5944999999999</v>
      </c>
      <c r="S145" s="3">
        <v>408.05</v>
      </c>
      <c r="T145" s="3">
        <v>1224.1500000000001</v>
      </c>
      <c r="U145" s="3">
        <v>592.44449999999983</v>
      </c>
      <c r="V145" s="5">
        <v>0.32612919393953899</v>
      </c>
      <c r="W145">
        <v>2</v>
      </c>
      <c r="X145" t="s">
        <v>37</v>
      </c>
      <c r="Y145" s="6">
        <v>5</v>
      </c>
    </row>
    <row r="146" spans="1:25">
      <c r="A146" t="s">
        <v>351</v>
      </c>
      <c r="B146" s="2">
        <v>45093</v>
      </c>
      <c r="C146">
        <v>2023</v>
      </c>
      <c r="D146" t="s">
        <v>229</v>
      </c>
      <c r="E146" t="s">
        <v>328</v>
      </c>
      <c r="F146" t="s">
        <v>39</v>
      </c>
      <c r="G146" t="s">
        <v>40</v>
      </c>
      <c r="H146" t="s">
        <v>41</v>
      </c>
      <c r="I146" t="s">
        <v>42</v>
      </c>
      <c r="J146" t="s">
        <v>352</v>
      </c>
      <c r="K146" t="s">
        <v>47</v>
      </c>
      <c r="L146" t="s">
        <v>114</v>
      </c>
      <c r="M146" t="s">
        <v>115</v>
      </c>
      <c r="N146" t="s">
        <v>44</v>
      </c>
      <c r="O146" s="3">
        <v>17.43</v>
      </c>
      <c r="P146">
        <v>6</v>
      </c>
      <c r="Q146" s="4">
        <v>0.15</v>
      </c>
      <c r="R146" s="3">
        <v>88.893000000000001</v>
      </c>
      <c r="S146" s="3">
        <v>7.04</v>
      </c>
      <c r="T146" s="3">
        <v>42.24</v>
      </c>
      <c r="U146" s="3">
        <v>46.652999999999999</v>
      </c>
      <c r="V146" s="5">
        <v>0.52482197698356448</v>
      </c>
      <c r="W146">
        <v>3</v>
      </c>
      <c r="X146" t="s">
        <v>37</v>
      </c>
      <c r="Y146" s="6">
        <v>5</v>
      </c>
    </row>
    <row r="147" spans="1:25">
      <c r="A147" t="s">
        <v>353</v>
      </c>
      <c r="B147" s="2">
        <v>45093</v>
      </c>
      <c r="C147">
        <v>2023</v>
      </c>
      <c r="D147" t="s">
        <v>229</v>
      </c>
      <c r="E147" t="s">
        <v>328</v>
      </c>
      <c r="F147" t="s">
        <v>51</v>
      </c>
      <c r="G147" t="s">
        <v>52</v>
      </c>
      <c r="H147" t="s">
        <v>102</v>
      </c>
      <c r="I147" t="s">
        <v>31</v>
      </c>
      <c r="J147" t="s">
        <v>344</v>
      </c>
      <c r="K147" t="s">
        <v>61</v>
      </c>
      <c r="L147" t="s">
        <v>62</v>
      </c>
      <c r="M147" t="s">
        <v>195</v>
      </c>
      <c r="N147" t="s">
        <v>57</v>
      </c>
      <c r="O147" s="3">
        <v>76.760000000000005</v>
      </c>
      <c r="P147">
        <v>1</v>
      </c>
      <c r="Q147" s="4">
        <v>0</v>
      </c>
      <c r="R147" s="3">
        <v>76.760000000000005</v>
      </c>
      <c r="S147" s="3">
        <v>32.21</v>
      </c>
      <c r="T147" s="3">
        <v>32.21</v>
      </c>
      <c r="U147" s="3">
        <v>44.550000000000004</v>
      </c>
      <c r="V147" s="5">
        <v>0.58038040646169886</v>
      </c>
      <c r="W147">
        <v>6</v>
      </c>
      <c r="X147" t="s">
        <v>37</v>
      </c>
      <c r="Y147" s="6">
        <v>4</v>
      </c>
    </row>
    <row r="148" spans="1:25">
      <c r="A148" t="s">
        <v>354</v>
      </c>
      <c r="B148" s="2">
        <v>45094</v>
      </c>
      <c r="C148">
        <v>2023</v>
      </c>
      <c r="D148" t="s">
        <v>229</v>
      </c>
      <c r="E148" t="s">
        <v>328</v>
      </c>
      <c r="F148" t="s">
        <v>65</v>
      </c>
      <c r="G148" t="s">
        <v>76</v>
      </c>
      <c r="H148" t="s">
        <v>126</v>
      </c>
      <c r="I148" t="s">
        <v>78</v>
      </c>
      <c r="J148" t="s">
        <v>355</v>
      </c>
      <c r="K148" t="s">
        <v>47</v>
      </c>
      <c r="L148" t="s">
        <v>48</v>
      </c>
      <c r="M148" t="s">
        <v>104</v>
      </c>
      <c r="N148" t="s">
        <v>57</v>
      </c>
      <c r="O148" s="3">
        <v>52.3</v>
      </c>
      <c r="P148">
        <v>12</v>
      </c>
      <c r="Q148" s="4">
        <v>0</v>
      </c>
      <c r="R148" s="3">
        <v>627.59999999999991</v>
      </c>
      <c r="S148" s="3">
        <v>30.7</v>
      </c>
      <c r="T148" s="3">
        <v>368.4</v>
      </c>
      <c r="U148" s="3">
        <v>259.19999999999993</v>
      </c>
      <c r="V148" s="5">
        <v>0.41300191204588904</v>
      </c>
      <c r="W148">
        <v>1</v>
      </c>
      <c r="X148" t="s">
        <v>37</v>
      </c>
      <c r="Y148" s="6">
        <v>5</v>
      </c>
    </row>
    <row r="149" spans="1:25">
      <c r="A149" t="s">
        <v>356</v>
      </c>
      <c r="B149" s="2">
        <v>45095</v>
      </c>
      <c r="C149">
        <v>2023</v>
      </c>
      <c r="D149" t="s">
        <v>229</v>
      </c>
      <c r="E149" t="s">
        <v>328</v>
      </c>
      <c r="F149" t="s">
        <v>51</v>
      </c>
      <c r="G149" t="s">
        <v>97</v>
      </c>
      <c r="H149" t="s">
        <v>98</v>
      </c>
      <c r="I149" t="s">
        <v>42</v>
      </c>
      <c r="J149" t="s">
        <v>357</v>
      </c>
      <c r="K149" t="s">
        <v>47</v>
      </c>
      <c r="L149" t="s">
        <v>48</v>
      </c>
      <c r="M149" t="s">
        <v>49</v>
      </c>
      <c r="N149" t="s">
        <v>57</v>
      </c>
      <c r="O149" s="3">
        <v>32.07</v>
      </c>
      <c r="P149">
        <v>1</v>
      </c>
      <c r="Q149" s="4">
        <v>0.15</v>
      </c>
      <c r="R149" s="3">
        <v>27.259499999999999</v>
      </c>
      <c r="S149" s="3">
        <v>14.08</v>
      </c>
      <c r="T149" s="3">
        <v>14.08</v>
      </c>
      <c r="U149" s="3">
        <v>13.179499999999999</v>
      </c>
      <c r="V149" s="5">
        <v>0.48348282250224689</v>
      </c>
      <c r="W149">
        <v>10</v>
      </c>
      <c r="X149" t="s">
        <v>37</v>
      </c>
      <c r="Y149" s="6">
        <v>4</v>
      </c>
    </row>
    <row r="150" spans="1:25">
      <c r="A150" t="s">
        <v>358</v>
      </c>
      <c r="B150" s="2">
        <v>45097</v>
      </c>
      <c r="C150">
        <v>2023</v>
      </c>
      <c r="D150" t="s">
        <v>229</v>
      </c>
      <c r="E150" t="s">
        <v>328</v>
      </c>
      <c r="F150" t="s">
        <v>51</v>
      </c>
      <c r="G150" t="s">
        <v>97</v>
      </c>
      <c r="H150" t="s">
        <v>98</v>
      </c>
      <c r="I150" t="s">
        <v>42</v>
      </c>
      <c r="J150" t="s">
        <v>83</v>
      </c>
      <c r="K150" t="s">
        <v>61</v>
      </c>
      <c r="L150" t="s">
        <v>84</v>
      </c>
      <c r="M150" t="s">
        <v>85</v>
      </c>
      <c r="N150" t="s">
        <v>36</v>
      </c>
      <c r="O150" s="3">
        <v>146.43</v>
      </c>
      <c r="P150">
        <v>4</v>
      </c>
      <c r="Q150" s="4">
        <v>0</v>
      </c>
      <c r="R150" s="3">
        <v>585.72</v>
      </c>
      <c r="S150" s="3">
        <v>71.459999999999994</v>
      </c>
      <c r="T150" s="3">
        <v>285.83999999999997</v>
      </c>
      <c r="U150" s="3">
        <v>299.88000000000005</v>
      </c>
      <c r="V150" s="5">
        <v>0.51198524892440078</v>
      </c>
      <c r="W150">
        <v>6</v>
      </c>
      <c r="X150" t="s">
        <v>37</v>
      </c>
      <c r="Y150" s="6">
        <v>4</v>
      </c>
    </row>
    <row r="151" spans="1:25">
      <c r="A151" t="s">
        <v>359</v>
      </c>
      <c r="B151" s="2">
        <v>45098</v>
      </c>
      <c r="C151">
        <v>2023</v>
      </c>
      <c r="D151" t="s">
        <v>229</v>
      </c>
      <c r="E151" t="s">
        <v>328</v>
      </c>
      <c r="F151" t="s">
        <v>65</v>
      </c>
      <c r="G151" t="s">
        <v>66</v>
      </c>
      <c r="H151" t="s">
        <v>67</v>
      </c>
      <c r="I151" t="s">
        <v>42</v>
      </c>
      <c r="J151" t="s">
        <v>258</v>
      </c>
      <c r="K151" t="s">
        <v>47</v>
      </c>
      <c r="L151" t="s">
        <v>55</v>
      </c>
      <c r="M151" t="s">
        <v>69</v>
      </c>
      <c r="N151" t="s">
        <v>44</v>
      </c>
      <c r="O151" s="3">
        <v>43.32</v>
      </c>
      <c r="P151">
        <v>10</v>
      </c>
      <c r="Q151" s="4">
        <v>0</v>
      </c>
      <c r="R151" s="3">
        <v>433.2</v>
      </c>
      <c r="S151" s="3">
        <v>22.36</v>
      </c>
      <c r="T151" s="3">
        <v>223.6</v>
      </c>
      <c r="U151" s="3">
        <v>209.6</v>
      </c>
      <c r="V151" s="5">
        <v>0.48384118190212372</v>
      </c>
      <c r="W151">
        <v>5</v>
      </c>
      <c r="X151" t="s">
        <v>37</v>
      </c>
      <c r="Y151" s="6">
        <v>5</v>
      </c>
    </row>
    <row r="152" spans="1:25">
      <c r="A152" t="s">
        <v>360</v>
      </c>
      <c r="B152" s="2">
        <v>45098</v>
      </c>
      <c r="C152">
        <v>2023</v>
      </c>
      <c r="D152" t="s">
        <v>229</v>
      </c>
      <c r="E152" t="s">
        <v>328</v>
      </c>
      <c r="F152" t="s">
        <v>65</v>
      </c>
      <c r="G152" t="s">
        <v>66</v>
      </c>
      <c r="H152" t="s">
        <v>67</v>
      </c>
      <c r="I152" t="s">
        <v>42</v>
      </c>
      <c r="J152" t="s">
        <v>207</v>
      </c>
      <c r="K152" t="s">
        <v>61</v>
      </c>
      <c r="L152" t="s">
        <v>62</v>
      </c>
      <c r="M152" t="s">
        <v>63</v>
      </c>
      <c r="N152" t="s">
        <v>57</v>
      </c>
      <c r="O152" s="3">
        <v>91.63</v>
      </c>
      <c r="P152">
        <v>1</v>
      </c>
      <c r="Q152" s="4">
        <v>0.1</v>
      </c>
      <c r="R152" s="3">
        <v>82.466999999999999</v>
      </c>
      <c r="S152" s="3">
        <v>43.09</v>
      </c>
      <c r="T152" s="3">
        <v>43.09</v>
      </c>
      <c r="U152" s="3">
        <v>39.376999999999995</v>
      </c>
      <c r="V152" s="5">
        <v>0.47748796488292283</v>
      </c>
      <c r="W152">
        <v>3</v>
      </c>
      <c r="X152" t="s">
        <v>37</v>
      </c>
      <c r="Y152" s="6">
        <v>5</v>
      </c>
    </row>
    <row r="153" spans="1:25">
      <c r="A153" t="s">
        <v>361</v>
      </c>
      <c r="B153" s="2">
        <v>45099</v>
      </c>
      <c r="C153">
        <v>2023</v>
      </c>
      <c r="D153" t="s">
        <v>229</v>
      </c>
      <c r="E153" t="s">
        <v>328</v>
      </c>
      <c r="F153" t="s">
        <v>65</v>
      </c>
      <c r="G153" t="s">
        <v>66</v>
      </c>
      <c r="H153" t="s">
        <v>67</v>
      </c>
      <c r="I153" t="s">
        <v>31</v>
      </c>
      <c r="J153" t="s">
        <v>362</v>
      </c>
      <c r="K153" t="s">
        <v>47</v>
      </c>
      <c r="L153" t="s">
        <v>48</v>
      </c>
      <c r="M153" t="s">
        <v>49</v>
      </c>
      <c r="N153" t="s">
        <v>57</v>
      </c>
      <c r="O153" s="3">
        <v>32.479999999999997</v>
      </c>
      <c r="P153">
        <v>12</v>
      </c>
      <c r="Q153" s="4">
        <v>0.2</v>
      </c>
      <c r="R153" s="3">
        <v>311.80799999999999</v>
      </c>
      <c r="S153" s="3">
        <v>14.01</v>
      </c>
      <c r="T153" s="3">
        <v>168.12</v>
      </c>
      <c r="U153" s="3">
        <v>143.68799999999999</v>
      </c>
      <c r="V153" s="5">
        <v>0.46082204433497537</v>
      </c>
      <c r="W153">
        <v>6</v>
      </c>
      <c r="X153" t="s">
        <v>37</v>
      </c>
      <c r="Y153" s="6">
        <v>5</v>
      </c>
    </row>
    <row r="154" spans="1:25">
      <c r="A154" t="s">
        <v>363</v>
      </c>
      <c r="B154" s="2">
        <v>45099</v>
      </c>
      <c r="C154">
        <v>2023</v>
      </c>
      <c r="D154" t="s">
        <v>229</v>
      </c>
      <c r="E154" t="s">
        <v>328</v>
      </c>
      <c r="F154" t="s">
        <v>28</v>
      </c>
      <c r="G154" t="s">
        <v>29</v>
      </c>
      <c r="H154" t="s">
        <v>106</v>
      </c>
      <c r="I154" t="s">
        <v>78</v>
      </c>
      <c r="J154" t="s">
        <v>364</v>
      </c>
      <c r="K154" t="s">
        <v>61</v>
      </c>
      <c r="L154" t="s">
        <v>62</v>
      </c>
      <c r="M154" t="s">
        <v>195</v>
      </c>
      <c r="N154" t="s">
        <v>57</v>
      </c>
      <c r="O154" s="3">
        <v>73.31</v>
      </c>
      <c r="P154">
        <v>1</v>
      </c>
      <c r="Q154" s="4">
        <v>0.1</v>
      </c>
      <c r="R154" s="3">
        <v>65.978999999999999</v>
      </c>
      <c r="S154" s="3">
        <v>32.56</v>
      </c>
      <c r="T154" s="3">
        <v>32.56</v>
      </c>
      <c r="U154" s="3">
        <v>33.418999999999997</v>
      </c>
      <c r="V154" s="5">
        <v>0.50650964700889678</v>
      </c>
      <c r="W154">
        <v>2</v>
      </c>
      <c r="X154" t="s">
        <v>37</v>
      </c>
      <c r="Y154" s="6">
        <v>4</v>
      </c>
    </row>
    <row r="155" spans="1:25">
      <c r="A155" t="s">
        <v>365</v>
      </c>
      <c r="B155" s="2">
        <v>45101</v>
      </c>
      <c r="C155">
        <v>2023</v>
      </c>
      <c r="D155" t="s">
        <v>229</v>
      </c>
      <c r="E155" t="s">
        <v>328</v>
      </c>
      <c r="F155" t="s">
        <v>28</v>
      </c>
      <c r="G155" t="s">
        <v>29</v>
      </c>
      <c r="H155" t="s">
        <v>106</v>
      </c>
      <c r="I155" t="s">
        <v>42</v>
      </c>
      <c r="J155" t="s">
        <v>290</v>
      </c>
      <c r="K155" t="s">
        <v>33</v>
      </c>
      <c r="L155" t="s">
        <v>73</v>
      </c>
      <c r="M155" t="s">
        <v>138</v>
      </c>
      <c r="N155" t="s">
        <v>36</v>
      </c>
      <c r="O155" s="3">
        <v>342.99</v>
      </c>
      <c r="P155">
        <v>2</v>
      </c>
      <c r="Q155" s="4">
        <v>0.2</v>
      </c>
      <c r="R155" s="3">
        <v>548.78399999999999</v>
      </c>
      <c r="S155" s="3">
        <v>174.93</v>
      </c>
      <c r="T155" s="3">
        <v>349.86</v>
      </c>
      <c r="U155" s="3">
        <v>198.92399999999998</v>
      </c>
      <c r="V155" s="5">
        <v>0.36248141345228718</v>
      </c>
      <c r="W155">
        <v>6</v>
      </c>
      <c r="X155" t="s">
        <v>37</v>
      </c>
      <c r="Y155" s="6">
        <v>4</v>
      </c>
    </row>
    <row r="156" spans="1:25">
      <c r="A156" t="s">
        <v>366</v>
      </c>
      <c r="B156" s="2">
        <v>45104</v>
      </c>
      <c r="C156">
        <v>2023</v>
      </c>
      <c r="D156" t="s">
        <v>229</v>
      </c>
      <c r="E156" t="s">
        <v>328</v>
      </c>
      <c r="F156" t="s">
        <v>51</v>
      </c>
      <c r="G156" t="s">
        <v>52</v>
      </c>
      <c r="H156" t="s">
        <v>53</v>
      </c>
      <c r="I156" t="s">
        <v>42</v>
      </c>
      <c r="J156" t="s">
        <v>367</v>
      </c>
      <c r="K156" t="s">
        <v>47</v>
      </c>
      <c r="L156" t="s">
        <v>114</v>
      </c>
      <c r="M156" t="s">
        <v>115</v>
      </c>
      <c r="N156" t="s">
        <v>44</v>
      </c>
      <c r="O156" s="3">
        <v>17.62</v>
      </c>
      <c r="P156">
        <v>2</v>
      </c>
      <c r="Q156" s="4">
        <v>0.05</v>
      </c>
      <c r="R156" s="3">
        <v>33.478000000000002</v>
      </c>
      <c r="S156" s="3">
        <v>7.15</v>
      </c>
      <c r="T156" s="3">
        <v>14.3</v>
      </c>
      <c r="U156" s="3">
        <v>19.178000000000001</v>
      </c>
      <c r="V156" s="5">
        <v>0.57285381444530736</v>
      </c>
      <c r="W156">
        <v>7</v>
      </c>
      <c r="X156" t="s">
        <v>37</v>
      </c>
      <c r="Y156" s="6">
        <v>4</v>
      </c>
    </row>
    <row r="157" spans="1:25">
      <c r="A157" t="s">
        <v>368</v>
      </c>
      <c r="B157" s="2">
        <v>45108</v>
      </c>
      <c r="C157">
        <v>2023</v>
      </c>
      <c r="D157" t="s">
        <v>369</v>
      </c>
      <c r="E157" t="s">
        <v>370</v>
      </c>
      <c r="F157" t="s">
        <v>28</v>
      </c>
      <c r="G157" t="s">
        <v>29</v>
      </c>
      <c r="H157" t="s">
        <v>106</v>
      </c>
      <c r="I157" t="s">
        <v>31</v>
      </c>
      <c r="J157" t="s">
        <v>371</v>
      </c>
      <c r="K157" t="s">
        <v>61</v>
      </c>
      <c r="L157" t="s">
        <v>80</v>
      </c>
      <c r="M157" t="s">
        <v>81</v>
      </c>
      <c r="N157" t="s">
        <v>44</v>
      </c>
      <c r="O157" s="3">
        <v>967.25</v>
      </c>
      <c r="P157">
        <v>1</v>
      </c>
      <c r="Q157" s="4">
        <v>0.1</v>
      </c>
      <c r="R157" s="3">
        <v>870.52499999999998</v>
      </c>
      <c r="S157" s="3">
        <v>664.3</v>
      </c>
      <c r="T157" s="3">
        <v>664.3</v>
      </c>
      <c r="U157" s="3">
        <v>206.22500000000002</v>
      </c>
      <c r="V157" s="5">
        <v>0.23689727463312371</v>
      </c>
      <c r="W157">
        <v>6</v>
      </c>
      <c r="X157" t="s">
        <v>37</v>
      </c>
      <c r="Y157" s="6">
        <v>4</v>
      </c>
    </row>
    <row r="158" spans="1:25">
      <c r="A158" t="s">
        <v>372</v>
      </c>
      <c r="B158" s="2">
        <v>45110</v>
      </c>
      <c r="C158">
        <v>2023</v>
      </c>
      <c r="D158" t="s">
        <v>369</v>
      </c>
      <c r="E158" t="s">
        <v>370</v>
      </c>
      <c r="F158" t="s">
        <v>39</v>
      </c>
      <c r="G158" t="s">
        <v>91</v>
      </c>
      <c r="H158" t="s">
        <v>92</v>
      </c>
      <c r="I158" t="s">
        <v>31</v>
      </c>
      <c r="J158" t="s">
        <v>373</v>
      </c>
      <c r="K158" t="s">
        <v>47</v>
      </c>
      <c r="L158" t="s">
        <v>55</v>
      </c>
      <c r="M158" t="s">
        <v>69</v>
      </c>
      <c r="N158" t="s">
        <v>36</v>
      </c>
      <c r="O158" s="3">
        <v>43.73</v>
      </c>
      <c r="P158">
        <v>10</v>
      </c>
      <c r="Q158" s="4">
        <v>0</v>
      </c>
      <c r="R158" s="3">
        <v>437.29999999999995</v>
      </c>
      <c r="S158" s="3">
        <v>22.39</v>
      </c>
      <c r="T158" s="3">
        <v>223.9</v>
      </c>
      <c r="U158" s="3">
        <v>213.39999999999995</v>
      </c>
      <c r="V158" s="5">
        <v>0.48799451177681219</v>
      </c>
      <c r="W158">
        <v>4</v>
      </c>
      <c r="X158" t="s">
        <v>37</v>
      </c>
      <c r="Y158" s="6">
        <v>5</v>
      </c>
    </row>
    <row r="159" spans="1:25">
      <c r="A159" t="s">
        <v>374</v>
      </c>
      <c r="B159" s="2">
        <v>45113</v>
      </c>
      <c r="C159">
        <v>2023</v>
      </c>
      <c r="D159" t="s">
        <v>369</v>
      </c>
      <c r="E159" t="s">
        <v>370</v>
      </c>
      <c r="F159" t="s">
        <v>51</v>
      </c>
      <c r="G159" t="s">
        <v>97</v>
      </c>
      <c r="H159" t="s">
        <v>98</v>
      </c>
      <c r="I159" t="s">
        <v>31</v>
      </c>
      <c r="J159" t="s">
        <v>375</v>
      </c>
      <c r="K159" t="s">
        <v>33</v>
      </c>
      <c r="L159" t="s">
        <v>88</v>
      </c>
      <c r="M159" t="s">
        <v>100</v>
      </c>
      <c r="N159" t="s">
        <v>44</v>
      </c>
      <c r="O159" s="3">
        <v>308.39</v>
      </c>
      <c r="P159">
        <v>2</v>
      </c>
      <c r="Q159" s="4">
        <v>0</v>
      </c>
      <c r="R159" s="3">
        <v>616.78</v>
      </c>
      <c r="S159" s="3">
        <v>159.51</v>
      </c>
      <c r="T159" s="3">
        <v>319.02</v>
      </c>
      <c r="U159" s="3">
        <v>297.76</v>
      </c>
      <c r="V159" s="5">
        <v>0.48276532961509777</v>
      </c>
      <c r="W159">
        <v>5</v>
      </c>
      <c r="X159" t="s">
        <v>37</v>
      </c>
      <c r="Y159" s="6">
        <v>4</v>
      </c>
    </row>
    <row r="160" spans="1:25">
      <c r="A160" t="s">
        <v>376</v>
      </c>
      <c r="B160" s="2">
        <v>45113</v>
      </c>
      <c r="C160">
        <v>2023</v>
      </c>
      <c r="D160" t="s">
        <v>369</v>
      </c>
      <c r="E160" t="s">
        <v>370</v>
      </c>
      <c r="F160" t="s">
        <v>51</v>
      </c>
      <c r="G160" t="s">
        <v>52</v>
      </c>
      <c r="H160" t="s">
        <v>53</v>
      </c>
      <c r="I160" t="s">
        <v>42</v>
      </c>
      <c r="J160" t="s">
        <v>377</v>
      </c>
      <c r="K160" t="s">
        <v>61</v>
      </c>
      <c r="L160" t="s">
        <v>80</v>
      </c>
      <c r="M160" t="s">
        <v>187</v>
      </c>
      <c r="N160" t="s">
        <v>57</v>
      </c>
      <c r="O160" s="3">
        <v>1336.82</v>
      </c>
      <c r="P160">
        <v>3</v>
      </c>
      <c r="Q160" s="4">
        <v>0</v>
      </c>
      <c r="R160" s="3">
        <v>4010.46</v>
      </c>
      <c r="S160" s="3">
        <v>835.34</v>
      </c>
      <c r="T160" s="3">
        <v>2506.02</v>
      </c>
      <c r="U160" s="3">
        <v>1504.44</v>
      </c>
      <c r="V160" s="5">
        <v>0.37512903756676291</v>
      </c>
      <c r="W160">
        <v>3</v>
      </c>
      <c r="X160" t="s">
        <v>37</v>
      </c>
      <c r="Y160" s="6">
        <v>4</v>
      </c>
    </row>
    <row r="161" spans="1:25">
      <c r="A161" t="s">
        <v>378</v>
      </c>
      <c r="B161" s="2">
        <v>45114</v>
      </c>
      <c r="C161">
        <v>2023</v>
      </c>
      <c r="D161" t="s">
        <v>369</v>
      </c>
      <c r="E161" t="s">
        <v>370</v>
      </c>
      <c r="F161" t="s">
        <v>65</v>
      </c>
      <c r="G161" t="s">
        <v>76</v>
      </c>
      <c r="H161" t="s">
        <v>126</v>
      </c>
      <c r="I161" t="s">
        <v>31</v>
      </c>
      <c r="J161" t="s">
        <v>379</v>
      </c>
      <c r="K161" t="s">
        <v>47</v>
      </c>
      <c r="L161" t="s">
        <v>114</v>
      </c>
      <c r="M161" t="s">
        <v>115</v>
      </c>
      <c r="N161" t="s">
        <v>36</v>
      </c>
      <c r="O161" s="3">
        <v>18.64</v>
      </c>
      <c r="P161">
        <v>1</v>
      </c>
      <c r="Q161" s="4">
        <v>0</v>
      </c>
      <c r="R161" s="3">
        <v>18.64</v>
      </c>
      <c r="S161" s="3">
        <v>6.99</v>
      </c>
      <c r="T161" s="3">
        <v>6.99</v>
      </c>
      <c r="U161" s="3">
        <v>11.65</v>
      </c>
      <c r="V161" s="5">
        <v>0.625</v>
      </c>
      <c r="W161">
        <v>7</v>
      </c>
      <c r="X161" t="s">
        <v>37</v>
      </c>
      <c r="Y161" s="6">
        <v>3</v>
      </c>
    </row>
    <row r="162" spans="1:25">
      <c r="A162" t="s">
        <v>380</v>
      </c>
      <c r="B162" s="2">
        <v>45116</v>
      </c>
      <c r="C162">
        <v>2023</v>
      </c>
      <c r="D162" t="s">
        <v>369</v>
      </c>
      <c r="E162" t="s">
        <v>370</v>
      </c>
      <c r="F162" t="s">
        <v>39</v>
      </c>
      <c r="G162" t="s">
        <v>91</v>
      </c>
      <c r="H162" t="s">
        <v>92</v>
      </c>
      <c r="I162" t="s">
        <v>42</v>
      </c>
      <c r="J162" t="s">
        <v>381</v>
      </c>
      <c r="K162" t="s">
        <v>47</v>
      </c>
      <c r="L162" t="s">
        <v>114</v>
      </c>
      <c r="M162" t="s">
        <v>120</v>
      </c>
      <c r="N162" t="s">
        <v>44</v>
      </c>
      <c r="O162" s="3">
        <v>25.81</v>
      </c>
      <c r="P162">
        <v>4</v>
      </c>
      <c r="Q162" s="4">
        <v>0.1</v>
      </c>
      <c r="R162" s="3">
        <v>92.915999999999997</v>
      </c>
      <c r="S162" s="3">
        <v>10.89</v>
      </c>
      <c r="T162" s="3">
        <v>43.56</v>
      </c>
      <c r="U162" s="3">
        <v>49.355999999999995</v>
      </c>
      <c r="V162" s="5">
        <v>0.53118946144905077</v>
      </c>
      <c r="W162">
        <v>2</v>
      </c>
      <c r="X162" t="s">
        <v>37</v>
      </c>
      <c r="Y162" s="6">
        <v>5</v>
      </c>
    </row>
    <row r="163" spans="1:25">
      <c r="A163" t="s">
        <v>382</v>
      </c>
      <c r="B163" s="2">
        <v>45119</v>
      </c>
      <c r="C163">
        <v>2023</v>
      </c>
      <c r="D163" t="s">
        <v>369</v>
      </c>
      <c r="E163" t="s">
        <v>370</v>
      </c>
      <c r="F163" t="s">
        <v>51</v>
      </c>
      <c r="G163" t="s">
        <v>52</v>
      </c>
      <c r="H163" t="s">
        <v>102</v>
      </c>
      <c r="I163" t="s">
        <v>71</v>
      </c>
      <c r="J163" t="s">
        <v>32</v>
      </c>
      <c r="K163" t="s">
        <v>61</v>
      </c>
      <c r="L163" t="s">
        <v>62</v>
      </c>
      <c r="M163" t="s">
        <v>195</v>
      </c>
      <c r="N163" t="s">
        <v>57</v>
      </c>
      <c r="O163" s="3">
        <v>72.25</v>
      </c>
      <c r="P163">
        <v>4</v>
      </c>
      <c r="Q163" s="4">
        <v>0</v>
      </c>
      <c r="R163" s="3">
        <v>289</v>
      </c>
      <c r="S163" s="3">
        <v>31.55</v>
      </c>
      <c r="T163" s="3">
        <v>126.2</v>
      </c>
      <c r="U163" s="3">
        <v>162.80000000000001</v>
      </c>
      <c r="V163" s="5">
        <v>0.56332179930795856</v>
      </c>
      <c r="W163">
        <v>8</v>
      </c>
      <c r="X163" t="s">
        <v>37</v>
      </c>
      <c r="Y163" s="6">
        <v>3</v>
      </c>
    </row>
    <row r="164" spans="1:25">
      <c r="A164" t="s">
        <v>383</v>
      </c>
      <c r="B164" s="2">
        <v>45120</v>
      </c>
      <c r="C164">
        <v>2023</v>
      </c>
      <c r="D164" t="s">
        <v>369</v>
      </c>
      <c r="E164" t="s">
        <v>370</v>
      </c>
      <c r="F164" t="s">
        <v>39</v>
      </c>
      <c r="G164" t="s">
        <v>40</v>
      </c>
      <c r="H164" t="s">
        <v>41</v>
      </c>
      <c r="I164" t="s">
        <v>31</v>
      </c>
      <c r="J164" t="s">
        <v>268</v>
      </c>
      <c r="K164" t="s">
        <v>47</v>
      </c>
      <c r="L164" t="s">
        <v>55</v>
      </c>
      <c r="M164" t="s">
        <v>56</v>
      </c>
      <c r="N164" t="s">
        <v>36</v>
      </c>
      <c r="O164" s="3">
        <v>39.36</v>
      </c>
      <c r="P164">
        <v>9</v>
      </c>
      <c r="Q164" s="4">
        <v>0.2</v>
      </c>
      <c r="R164" s="3">
        <v>283.392</v>
      </c>
      <c r="S164" s="3">
        <v>17.010000000000002</v>
      </c>
      <c r="T164" s="3">
        <v>153.09</v>
      </c>
      <c r="U164" s="3">
        <v>130.30199999999999</v>
      </c>
      <c r="V164" s="5">
        <v>0.45979420731707316</v>
      </c>
      <c r="W164">
        <v>3</v>
      </c>
      <c r="X164" t="s">
        <v>37</v>
      </c>
      <c r="Y164" s="6">
        <v>4</v>
      </c>
    </row>
    <row r="165" spans="1:25">
      <c r="A165" t="s">
        <v>384</v>
      </c>
      <c r="B165" s="2">
        <v>45121</v>
      </c>
      <c r="C165">
        <v>2023</v>
      </c>
      <c r="D165" t="s">
        <v>369</v>
      </c>
      <c r="E165" t="s">
        <v>370</v>
      </c>
      <c r="F165" t="s">
        <v>39</v>
      </c>
      <c r="G165" t="s">
        <v>40</v>
      </c>
      <c r="H165" t="s">
        <v>41</v>
      </c>
      <c r="I165" t="s">
        <v>71</v>
      </c>
      <c r="J165" t="s">
        <v>385</v>
      </c>
      <c r="K165" t="s">
        <v>33</v>
      </c>
      <c r="L165" t="s">
        <v>73</v>
      </c>
      <c r="M165" t="s">
        <v>138</v>
      </c>
      <c r="N165" t="s">
        <v>36</v>
      </c>
      <c r="O165" s="3">
        <v>321.48</v>
      </c>
      <c r="P165">
        <v>3</v>
      </c>
      <c r="Q165" s="4">
        <v>0</v>
      </c>
      <c r="R165" s="3">
        <v>964.44</v>
      </c>
      <c r="S165" s="3">
        <v>181.61</v>
      </c>
      <c r="T165" s="3">
        <v>544.83000000000004</v>
      </c>
      <c r="U165" s="3">
        <v>419.61</v>
      </c>
      <c r="V165" s="5">
        <v>0.43508149807141966</v>
      </c>
      <c r="W165">
        <v>2</v>
      </c>
      <c r="X165" t="s">
        <v>37</v>
      </c>
      <c r="Y165" s="6">
        <v>5</v>
      </c>
    </row>
    <row r="166" spans="1:25">
      <c r="A166" t="s">
        <v>386</v>
      </c>
      <c r="B166" s="2">
        <v>45121</v>
      </c>
      <c r="C166">
        <v>2023</v>
      </c>
      <c r="D166" t="s">
        <v>369</v>
      </c>
      <c r="E166" t="s">
        <v>370</v>
      </c>
      <c r="F166" t="s">
        <v>65</v>
      </c>
      <c r="G166" t="s">
        <v>66</v>
      </c>
      <c r="H166" t="s">
        <v>67</v>
      </c>
      <c r="I166" t="s">
        <v>42</v>
      </c>
      <c r="J166" t="s">
        <v>387</v>
      </c>
      <c r="K166" t="s">
        <v>33</v>
      </c>
      <c r="L166" t="s">
        <v>34</v>
      </c>
      <c r="M166" t="s">
        <v>35</v>
      </c>
      <c r="N166" t="s">
        <v>44</v>
      </c>
      <c r="O166" s="3">
        <v>182.35</v>
      </c>
      <c r="P166">
        <v>4</v>
      </c>
      <c r="Q166" s="4">
        <v>0.2</v>
      </c>
      <c r="R166" s="3">
        <v>583.52</v>
      </c>
      <c r="S166" s="3">
        <v>91.52</v>
      </c>
      <c r="T166" s="3">
        <v>366.08</v>
      </c>
      <c r="U166" s="3">
        <v>217.44</v>
      </c>
      <c r="V166" s="5">
        <v>0.37263504250068552</v>
      </c>
      <c r="W166">
        <v>5</v>
      </c>
      <c r="X166" t="s">
        <v>37</v>
      </c>
      <c r="Y166" s="6">
        <v>4</v>
      </c>
    </row>
    <row r="167" spans="1:25">
      <c r="A167" t="s">
        <v>388</v>
      </c>
      <c r="B167" s="2">
        <v>45122</v>
      </c>
      <c r="C167">
        <v>2023</v>
      </c>
      <c r="D167" t="s">
        <v>369</v>
      </c>
      <c r="E167" t="s">
        <v>370</v>
      </c>
      <c r="F167" t="s">
        <v>51</v>
      </c>
      <c r="G167" t="s">
        <v>52</v>
      </c>
      <c r="H167" t="s">
        <v>102</v>
      </c>
      <c r="I167" t="s">
        <v>78</v>
      </c>
      <c r="J167" t="s">
        <v>83</v>
      </c>
      <c r="K167" t="s">
        <v>61</v>
      </c>
      <c r="L167" t="s">
        <v>84</v>
      </c>
      <c r="M167" t="s">
        <v>135</v>
      </c>
      <c r="N167" t="s">
        <v>57</v>
      </c>
      <c r="O167" s="3">
        <v>921.68</v>
      </c>
      <c r="P167">
        <v>2</v>
      </c>
      <c r="Q167" s="4">
        <v>0.05</v>
      </c>
      <c r="R167" s="3">
        <v>1751.1919999999998</v>
      </c>
      <c r="S167" s="3">
        <v>554.96</v>
      </c>
      <c r="T167" s="3">
        <v>1109.92</v>
      </c>
      <c r="U167" s="3">
        <v>641.27199999999971</v>
      </c>
      <c r="V167" s="5">
        <v>0.36619171398681571</v>
      </c>
      <c r="W167">
        <v>4</v>
      </c>
      <c r="X167" t="s">
        <v>37</v>
      </c>
      <c r="Y167" s="6">
        <v>4</v>
      </c>
    </row>
    <row r="168" spans="1:25">
      <c r="A168" t="s">
        <v>389</v>
      </c>
      <c r="B168" s="2">
        <v>45122</v>
      </c>
      <c r="C168">
        <v>2023</v>
      </c>
      <c r="D168" t="s">
        <v>369</v>
      </c>
      <c r="E168" t="s">
        <v>370</v>
      </c>
      <c r="F168" t="s">
        <v>39</v>
      </c>
      <c r="G168" t="s">
        <v>91</v>
      </c>
      <c r="H168" t="s">
        <v>92</v>
      </c>
      <c r="I168" t="s">
        <v>78</v>
      </c>
      <c r="J168" t="s">
        <v>311</v>
      </c>
      <c r="K168" t="s">
        <v>61</v>
      </c>
      <c r="L168" t="s">
        <v>62</v>
      </c>
      <c r="M168" t="s">
        <v>195</v>
      </c>
      <c r="N168" t="s">
        <v>57</v>
      </c>
      <c r="O168" s="3">
        <v>77.61</v>
      </c>
      <c r="P168">
        <v>4</v>
      </c>
      <c r="Q168" s="4">
        <v>0.2</v>
      </c>
      <c r="R168" s="3">
        <v>248.352</v>
      </c>
      <c r="S168" s="3">
        <v>31.26</v>
      </c>
      <c r="T168" s="3">
        <v>125.04</v>
      </c>
      <c r="U168" s="3">
        <v>123.312</v>
      </c>
      <c r="V168" s="5">
        <v>0.49652106687282566</v>
      </c>
      <c r="W168">
        <v>3</v>
      </c>
      <c r="X168" t="s">
        <v>37</v>
      </c>
      <c r="Y168" s="6">
        <v>5</v>
      </c>
    </row>
    <row r="169" spans="1:25">
      <c r="A169" t="s">
        <v>390</v>
      </c>
      <c r="B169" s="2">
        <v>45123</v>
      </c>
      <c r="C169">
        <v>2023</v>
      </c>
      <c r="D169" t="s">
        <v>369</v>
      </c>
      <c r="E169" t="s">
        <v>370</v>
      </c>
      <c r="F169" t="s">
        <v>51</v>
      </c>
      <c r="G169" t="s">
        <v>52</v>
      </c>
      <c r="H169" t="s">
        <v>102</v>
      </c>
      <c r="I169" t="s">
        <v>78</v>
      </c>
      <c r="J169" t="s">
        <v>391</v>
      </c>
      <c r="K169" t="s">
        <v>61</v>
      </c>
      <c r="L169" t="s">
        <v>80</v>
      </c>
      <c r="M169" t="s">
        <v>187</v>
      </c>
      <c r="N169" t="s">
        <v>44</v>
      </c>
      <c r="O169" s="3">
        <v>1329.19</v>
      </c>
      <c r="P169">
        <v>2</v>
      </c>
      <c r="Q169" s="4">
        <v>0</v>
      </c>
      <c r="R169" s="3">
        <v>2658.38</v>
      </c>
      <c r="S169" s="3">
        <v>872.59</v>
      </c>
      <c r="T169" s="3">
        <v>1745.18</v>
      </c>
      <c r="U169" s="3">
        <v>913.2</v>
      </c>
      <c r="V169" s="5">
        <v>0.343517480570874</v>
      </c>
      <c r="W169">
        <v>7</v>
      </c>
      <c r="X169" t="s">
        <v>37</v>
      </c>
      <c r="Y169" s="6">
        <v>4</v>
      </c>
    </row>
    <row r="170" spans="1:25">
      <c r="A170" t="s">
        <v>392</v>
      </c>
      <c r="B170" s="2">
        <v>45125</v>
      </c>
      <c r="C170">
        <v>2023</v>
      </c>
      <c r="D170" t="s">
        <v>369</v>
      </c>
      <c r="E170" t="s">
        <v>370</v>
      </c>
      <c r="F170" t="s">
        <v>39</v>
      </c>
      <c r="G170" t="s">
        <v>111</v>
      </c>
      <c r="H170" t="s">
        <v>112</v>
      </c>
      <c r="I170" t="s">
        <v>42</v>
      </c>
      <c r="J170" t="s">
        <v>379</v>
      </c>
      <c r="K170" t="s">
        <v>33</v>
      </c>
      <c r="L170" t="s">
        <v>88</v>
      </c>
      <c r="M170" t="s">
        <v>100</v>
      </c>
      <c r="N170" t="s">
        <v>44</v>
      </c>
      <c r="O170" s="3">
        <v>301.11</v>
      </c>
      <c r="P170">
        <v>2</v>
      </c>
      <c r="Q170" s="4">
        <v>0.15</v>
      </c>
      <c r="R170" s="3">
        <v>511.887</v>
      </c>
      <c r="S170" s="3">
        <v>152.52000000000001</v>
      </c>
      <c r="T170" s="3">
        <v>305.04000000000002</v>
      </c>
      <c r="U170" s="3">
        <v>206.84699999999998</v>
      </c>
      <c r="V170" s="5">
        <v>0.4040872301894754</v>
      </c>
      <c r="W170">
        <v>1</v>
      </c>
      <c r="X170" t="s">
        <v>37</v>
      </c>
      <c r="Y170" s="6">
        <v>5</v>
      </c>
    </row>
    <row r="171" spans="1:25">
      <c r="A171" t="s">
        <v>393</v>
      </c>
      <c r="B171" s="2">
        <v>45126</v>
      </c>
      <c r="C171">
        <v>2023</v>
      </c>
      <c r="D171" t="s">
        <v>369</v>
      </c>
      <c r="E171" t="s">
        <v>370</v>
      </c>
      <c r="F171" t="s">
        <v>28</v>
      </c>
      <c r="G171" t="s">
        <v>29</v>
      </c>
      <c r="H171" t="s">
        <v>106</v>
      </c>
      <c r="I171" t="s">
        <v>71</v>
      </c>
      <c r="J171" t="s">
        <v>394</v>
      </c>
      <c r="K171" t="s">
        <v>61</v>
      </c>
      <c r="L171" t="s">
        <v>62</v>
      </c>
      <c r="M171" t="s">
        <v>195</v>
      </c>
      <c r="N171" t="s">
        <v>57</v>
      </c>
      <c r="O171" s="3">
        <v>76.849999999999994</v>
      </c>
      <c r="P171">
        <v>2</v>
      </c>
      <c r="Q171" s="4">
        <v>0.1</v>
      </c>
      <c r="R171" s="3">
        <v>138.32999999999998</v>
      </c>
      <c r="S171" s="3">
        <v>31.59</v>
      </c>
      <c r="T171" s="3">
        <v>63.18</v>
      </c>
      <c r="U171" s="3">
        <v>75.149999999999977</v>
      </c>
      <c r="V171" s="5">
        <v>0.54326610279765764</v>
      </c>
      <c r="W171">
        <v>6</v>
      </c>
      <c r="X171" t="s">
        <v>58</v>
      </c>
      <c r="Y171" s="6">
        <v>3</v>
      </c>
    </row>
    <row r="172" spans="1:25">
      <c r="A172" t="s">
        <v>395</v>
      </c>
      <c r="B172" s="2">
        <v>45127</v>
      </c>
      <c r="C172">
        <v>2023</v>
      </c>
      <c r="D172" t="s">
        <v>369</v>
      </c>
      <c r="E172" t="s">
        <v>370</v>
      </c>
      <c r="F172" t="s">
        <v>39</v>
      </c>
      <c r="G172" t="s">
        <v>40</v>
      </c>
      <c r="H172" t="s">
        <v>41</v>
      </c>
      <c r="I172" t="s">
        <v>42</v>
      </c>
      <c r="J172" t="s">
        <v>330</v>
      </c>
      <c r="K172" t="s">
        <v>33</v>
      </c>
      <c r="L172" t="s">
        <v>88</v>
      </c>
      <c r="M172" t="s">
        <v>100</v>
      </c>
      <c r="N172" t="s">
        <v>44</v>
      </c>
      <c r="O172" s="3">
        <v>297.37</v>
      </c>
      <c r="P172">
        <v>3</v>
      </c>
      <c r="Q172" s="4">
        <v>0.05</v>
      </c>
      <c r="R172" s="3">
        <v>847.50450000000001</v>
      </c>
      <c r="S172" s="3">
        <v>154.94999999999999</v>
      </c>
      <c r="T172" s="3">
        <v>464.84999999999997</v>
      </c>
      <c r="U172" s="3">
        <v>382.65450000000004</v>
      </c>
      <c r="V172" s="5">
        <v>0.45150733712918345</v>
      </c>
      <c r="W172">
        <v>5</v>
      </c>
      <c r="X172" t="s">
        <v>37</v>
      </c>
      <c r="Y172" s="6">
        <v>5</v>
      </c>
    </row>
    <row r="173" spans="1:25">
      <c r="A173" t="s">
        <v>396</v>
      </c>
      <c r="B173" s="2">
        <v>45128</v>
      </c>
      <c r="C173">
        <v>2023</v>
      </c>
      <c r="D173" t="s">
        <v>369</v>
      </c>
      <c r="E173" t="s">
        <v>370</v>
      </c>
      <c r="F173" t="s">
        <v>28</v>
      </c>
      <c r="G173" t="s">
        <v>29</v>
      </c>
      <c r="H173" t="s">
        <v>60</v>
      </c>
      <c r="I173" t="s">
        <v>42</v>
      </c>
      <c r="J173" t="s">
        <v>397</v>
      </c>
      <c r="K173" t="s">
        <v>61</v>
      </c>
      <c r="L173" t="s">
        <v>80</v>
      </c>
      <c r="M173" t="s">
        <v>187</v>
      </c>
      <c r="N173" t="s">
        <v>44</v>
      </c>
      <c r="O173" s="3">
        <v>1306.9000000000001</v>
      </c>
      <c r="P173">
        <v>2</v>
      </c>
      <c r="Q173" s="4">
        <v>0</v>
      </c>
      <c r="R173" s="3">
        <v>2613.8000000000002</v>
      </c>
      <c r="S173" s="3">
        <v>848.32</v>
      </c>
      <c r="T173" s="3">
        <v>1696.64</v>
      </c>
      <c r="U173" s="3">
        <v>917.16000000000008</v>
      </c>
      <c r="V173" s="5">
        <v>0.35089142245007271</v>
      </c>
      <c r="W173">
        <v>5</v>
      </c>
      <c r="X173" t="s">
        <v>37</v>
      </c>
      <c r="Y173" s="6">
        <v>4</v>
      </c>
    </row>
    <row r="174" spans="1:25">
      <c r="A174" t="s">
        <v>398</v>
      </c>
      <c r="B174" s="2">
        <v>45128</v>
      </c>
      <c r="C174">
        <v>2023</v>
      </c>
      <c r="D174" t="s">
        <v>369</v>
      </c>
      <c r="E174" t="s">
        <v>370</v>
      </c>
      <c r="F174" t="s">
        <v>51</v>
      </c>
      <c r="G174" t="s">
        <v>52</v>
      </c>
      <c r="H174" t="s">
        <v>102</v>
      </c>
      <c r="I174" t="s">
        <v>78</v>
      </c>
      <c r="J174" t="s">
        <v>399</v>
      </c>
      <c r="K174" t="s">
        <v>47</v>
      </c>
      <c r="L174" t="s">
        <v>48</v>
      </c>
      <c r="M174" t="s">
        <v>49</v>
      </c>
      <c r="N174" t="s">
        <v>44</v>
      </c>
      <c r="O174" s="3">
        <v>32.96</v>
      </c>
      <c r="P174">
        <v>9</v>
      </c>
      <c r="Q174" s="4">
        <v>0</v>
      </c>
      <c r="R174" s="3">
        <v>296.64</v>
      </c>
      <c r="S174" s="3">
        <v>13.74</v>
      </c>
      <c r="T174" s="3">
        <v>123.66</v>
      </c>
      <c r="U174" s="3">
        <v>172.98</v>
      </c>
      <c r="V174" s="5">
        <v>0.58313106796116509</v>
      </c>
      <c r="W174">
        <v>9</v>
      </c>
      <c r="X174" t="s">
        <v>37</v>
      </c>
      <c r="Y174" s="6">
        <v>4</v>
      </c>
    </row>
    <row r="175" spans="1:25">
      <c r="A175" t="s">
        <v>400</v>
      </c>
      <c r="B175" s="2">
        <v>45128</v>
      </c>
      <c r="C175">
        <v>2023</v>
      </c>
      <c r="D175" t="s">
        <v>369</v>
      </c>
      <c r="E175" t="s">
        <v>370</v>
      </c>
      <c r="F175" t="s">
        <v>51</v>
      </c>
      <c r="G175" t="s">
        <v>97</v>
      </c>
      <c r="H175" t="s">
        <v>98</v>
      </c>
      <c r="I175" t="s">
        <v>42</v>
      </c>
      <c r="J175" t="s">
        <v>348</v>
      </c>
      <c r="K175" t="s">
        <v>61</v>
      </c>
      <c r="L175" t="s">
        <v>62</v>
      </c>
      <c r="M175" t="s">
        <v>195</v>
      </c>
      <c r="N175" t="s">
        <v>57</v>
      </c>
      <c r="O175" s="3">
        <v>74.08</v>
      </c>
      <c r="P175">
        <v>3</v>
      </c>
      <c r="Q175" s="4">
        <v>0.05</v>
      </c>
      <c r="R175" s="3">
        <v>211.12799999999999</v>
      </c>
      <c r="S175" s="3">
        <v>32.53</v>
      </c>
      <c r="T175" s="3">
        <v>97.59</v>
      </c>
      <c r="U175" s="3">
        <v>113.53799999999998</v>
      </c>
      <c r="V175" s="5">
        <v>0.5377685574627713</v>
      </c>
      <c r="W175">
        <v>4</v>
      </c>
      <c r="X175" t="s">
        <v>58</v>
      </c>
      <c r="Y175" s="6">
        <v>3</v>
      </c>
    </row>
    <row r="176" spans="1:25">
      <c r="A176" t="s">
        <v>401</v>
      </c>
      <c r="B176" s="2">
        <v>45130</v>
      </c>
      <c r="C176">
        <v>2023</v>
      </c>
      <c r="D176" t="s">
        <v>369</v>
      </c>
      <c r="E176" t="s">
        <v>370</v>
      </c>
      <c r="F176" t="s">
        <v>51</v>
      </c>
      <c r="G176" t="s">
        <v>97</v>
      </c>
      <c r="H176" t="s">
        <v>98</v>
      </c>
      <c r="I176" t="s">
        <v>71</v>
      </c>
      <c r="J176" t="s">
        <v>402</v>
      </c>
      <c r="K176" t="s">
        <v>61</v>
      </c>
      <c r="L176" t="s">
        <v>80</v>
      </c>
      <c r="M176" t="s">
        <v>81</v>
      </c>
      <c r="N176" t="s">
        <v>36</v>
      </c>
      <c r="O176" s="3">
        <v>987.62</v>
      </c>
      <c r="P176">
        <v>5</v>
      </c>
      <c r="Q176" s="4">
        <v>0</v>
      </c>
      <c r="R176" s="3">
        <v>4938.1000000000004</v>
      </c>
      <c r="S176" s="3">
        <v>666.81</v>
      </c>
      <c r="T176" s="3">
        <v>3334.0499999999997</v>
      </c>
      <c r="U176" s="3">
        <v>1604.0500000000006</v>
      </c>
      <c r="V176" s="5">
        <v>0.32483141289159811</v>
      </c>
      <c r="W176">
        <v>5</v>
      </c>
      <c r="X176" t="s">
        <v>37</v>
      </c>
      <c r="Y176" s="6">
        <v>4</v>
      </c>
    </row>
    <row r="177" spans="1:25">
      <c r="A177" t="s">
        <v>403</v>
      </c>
      <c r="B177" s="2">
        <v>45135</v>
      </c>
      <c r="C177">
        <v>2023</v>
      </c>
      <c r="D177" t="s">
        <v>369</v>
      </c>
      <c r="E177" t="s">
        <v>370</v>
      </c>
      <c r="F177" t="s">
        <v>65</v>
      </c>
      <c r="G177" t="s">
        <v>66</v>
      </c>
      <c r="H177" t="s">
        <v>67</v>
      </c>
      <c r="I177" t="s">
        <v>71</v>
      </c>
      <c r="J177" t="s">
        <v>83</v>
      </c>
      <c r="K177" t="s">
        <v>33</v>
      </c>
      <c r="L177" t="s">
        <v>34</v>
      </c>
      <c r="M177" t="s">
        <v>35</v>
      </c>
      <c r="N177" t="s">
        <v>36</v>
      </c>
      <c r="O177" s="3">
        <v>187.61</v>
      </c>
      <c r="P177">
        <v>1</v>
      </c>
      <c r="Q177" s="4">
        <v>0</v>
      </c>
      <c r="R177" s="3">
        <v>187.61</v>
      </c>
      <c r="S177" s="3">
        <v>92.06</v>
      </c>
      <c r="T177" s="3">
        <v>92.06</v>
      </c>
      <c r="U177" s="3">
        <v>95.550000000000011</v>
      </c>
      <c r="V177" s="5">
        <v>0.50930120995682537</v>
      </c>
      <c r="W177">
        <v>4</v>
      </c>
      <c r="X177" t="s">
        <v>37</v>
      </c>
      <c r="Y177" s="6">
        <v>4</v>
      </c>
    </row>
    <row r="178" spans="1:25">
      <c r="A178" t="s">
        <v>404</v>
      </c>
      <c r="B178" s="2">
        <v>45136</v>
      </c>
      <c r="C178">
        <v>2023</v>
      </c>
      <c r="D178" t="s">
        <v>369</v>
      </c>
      <c r="E178" t="s">
        <v>370</v>
      </c>
      <c r="F178" t="s">
        <v>51</v>
      </c>
      <c r="G178" t="s">
        <v>52</v>
      </c>
      <c r="H178" t="s">
        <v>102</v>
      </c>
      <c r="I178" t="s">
        <v>42</v>
      </c>
      <c r="J178" t="s">
        <v>405</v>
      </c>
      <c r="K178" t="s">
        <v>47</v>
      </c>
      <c r="L178" t="s">
        <v>48</v>
      </c>
      <c r="M178" t="s">
        <v>104</v>
      </c>
      <c r="N178" t="s">
        <v>36</v>
      </c>
      <c r="O178" s="3">
        <v>52.86</v>
      </c>
      <c r="P178">
        <v>1</v>
      </c>
      <c r="Q178" s="4">
        <v>0</v>
      </c>
      <c r="R178" s="3">
        <v>52.86</v>
      </c>
      <c r="S178" s="3">
        <v>30.9</v>
      </c>
      <c r="T178" s="3">
        <v>30.9</v>
      </c>
      <c r="U178" s="3">
        <v>21.96</v>
      </c>
      <c r="V178" s="5">
        <v>0.41543700340522138</v>
      </c>
      <c r="W178">
        <v>6</v>
      </c>
      <c r="X178" t="s">
        <v>37</v>
      </c>
      <c r="Y178" s="6">
        <v>5</v>
      </c>
    </row>
    <row r="179" spans="1:25">
      <c r="A179" t="s">
        <v>406</v>
      </c>
      <c r="B179" s="2">
        <v>45138</v>
      </c>
      <c r="C179">
        <v>2023</v>
      </c>
      <c r="D179" t="s">
        <v>369</v>
      </c>
      <c r="E179" t="s">
        <v>370</v>
      </c>
      <c r="F179" t="s">
        <v>28</v>
      </c>
      <c r="G179" t="s">
        <v>29</v>
      </c>
      <c r="H179" t="s">
        <v>60</v>
      </c>
      <c r="I179" t="s">
        <v>31</v>
      </c>
      <c r="J179" t="s">
        <v>407</v>
      </c>
      <c r="K179" t="s">
        <v>33</v>
      </c>
      <c r="L179" t="s">
        <v>34</v>
      </c>
      <c r="M179" t="s">
        <v>35</v>
      </c>
      <c r="N179" t="s">
        <v>57</v>
      </c>
      <c r="O179" s="3">
        <v>174.24</v>
      </c>
      <c r="P179">
        <v>4</v>
      </c>
      <c r="Q179" s="4">
        <v>0</v>
      </c>
      <c r="R179" s="3">
        <v>696.96</v>
      </c>
      <c r="S179" s="3">
        <v>91.95</v>
      </c>
      <c r="T179" s="3">
        <v>367.8</v>
      </c>
      <c r="U179" s="3">
        <v>329.16</v>
      </c>
      <c r="V179" s="5">
        <v>0.47227961432506887</v>
      </c>
      <c r="W179">
        <v>5</v>
      </c>
      <c r="X179" t="s">
        <v>37</v>
      </c>
      <c r="Y179" s="6">
        <v>5</v>
      </c>
    </row>
    <row r="180" spans="1:25">
      <c r="A180" t="s">
        <v>408</v>
      </c>
      <c r="B180" s="2">
        <v>45139</v>
      </c>
      <c r="C180">
        <v>2023</v>
      </c>
      <c r="D180" t="s">
        <v>369</v>
      </c>
      <c r="E180" t="s">
        <v>409</v>
      </c>
      <c r="F180" t="s">
        <v>39</v>
      </c>
      <c r="G180" t="s">
        <v>111</v>
      </c>
      <c r="H180" t="s">
        <v>112</v>
      </c>
      <c r="I180" t="s">
        <v>42</v>
      </c>
      <c r="J180" t="s">
        <v>410</v>
      </c>
      <c r="K180" t="s">
        <v>47</v>
      </c>
      <c r="L180" t="s">
        <v>55</v>
      </c>
      <c r="M180" t="s">
        <v>56</v>
      </c>
      <c r="N180" t="s">
        <v>44</v>
      </c>
      <c r="O180" s="3">
        <v>37.43</v>
      </c>
      <c r="P180">
        <v>5</v>
      </c>
      <c r="Q180" s="4">
        <v>0.15</v>
      </c>
      <c r="R180" s="3">
        <v>159.07750000000001</v>
      </c>
      <c r="S180" s="3">
        <v>16.690000000000001</v>
      </c>
      <c r="T180" s="3">
        <v>83.45</v>
      </c>
      <c r="U180" s="3">
        <v>75.627500000000012</v>
      </c>
      <c r="V180" s="5">
        <v>0.47541292766104576</v>
      </c>
      <c r="W180">
        <v>5</v>
      </c>
      <c r="X180" t="s">
        <v>37</v>
      </c>
      <c r="Y180" s="6">
        <v>5</v>
      </c>
    </row>
    <row r="181" spans="1:25">
      <c r="A181" t="s">
        <v>411</v>
      </c>
      <c r="B181" s="2">
        <v>45140</v>
      </c>
      <c r="C181">
        <v>2023</v>
      </c>
      <c r="D181" t="s">
        <v>369</v>
      </c>
      <c r="E181" t="s">
        <v>409</v>
      </c>
      <c r="F181" t="s">
        <v>65</v>
      </c>
      <c r="G181" t="s">
        <v>76</v>
      </c>
      <c r="H181" t="s">
        <v>77</v>
      </c>
      <c r="I181" t="s">
        <v>31</v>
      </c>
      <c r="J181" t="s">
        <v>109</v>
      </c>
      <c r="K181" t="s">
        <v>61</v>
      </c>
      <c r="L181" t="s">
        <v>62</v>
      </c>
      <c r="M181" t="s">
        <v>63</v>
      </c>
      <c r="N181" t="s">
        <v>36</v>
      </c>
      <c r="O181" s="3">
        <v>91.87</v>
      </c>
      <c r="P181">
        <v>1</v>
      </c>
      <c r="Q181" s="4">
        <v>0.2</v>
      </c>
      <c r="R181" s="3">
        <v>73.496000000000009</v>
      </c>
      <c r="S181" s="3">
        <v>44.34</v>
      </c>
      <c r="T181" s="3">
        <v>44.34</v>
      </c>
      <c r="U181" s="3">
        <v>29.156000000000006</v>
      </c>
      <c r="V181" s="5">
        <v>0.39670186132578644</v>
      </c>
      <c r="W181">
        <v>5</v>
      </c>
      <c r="X181" t="s">
        <v>37</v>
      </c>
      <c r="Y181" s="6">
        <v>4</v>
      </c>
    </row>
    <row r="182" spans="1:25">
      <c r="A182" t="s">
        <v>412</v>
      </c>
      <c r="B182" s="2">
        <v>45141</v>
      </c>
      <c r="C182">
        <v>2023</v>
      </c>
      <c r="D182" t="s">
        <v>369</v>
      </c>
      <c r="E182" t="s">
        <v>409</v>
      </c>
      <c r="F182" t="s">
        <v>65</v>
      </c>
      <c r="G182" t="s">
        <v>76</v>
      </c>
      <c r="H182" t="s">
        <v>126</v>
      </c>
      <c r="I182" t="s">
        <v>71</v>
      </c>
      <c r="J182" t="s">
        <v>413</v>
      </c>
      <c r="K182" t="s">
        <v>47</v>
      </c>
      <c r="L182" t="s">
        <v>55</v>
      </c>
      <c r="M182" t="s">
        <v>56</v>
      </c>
      <c r="N182" t="s">
        <v>36</v>
      </c>
      <c r="O182" s="3">
        <v>38.65</v>
      </c>
      <c r="P182">
        <v>1</v>
      </c>
      <c r="Q182" s="4">
        <v>0.2</v>
      </c>
      <c r="R182" s="3">
        <v>30.92</v>
      </c>
      <c r="S182" s="3">
        <v>16.52</v>
      </c>
      <c r="T182" s="3">
        <v>16.52</v>
      </c>
      <c r="U182" s="3">
        <v>14.400000000000002</v>
      </c>
      <c r="V182" s="5">
        <v>0.46571798188874519</v>
      </c>
      <c r="W182">
        <v>2</v>
      </c>
      <c r="X182" t="s">
        <v>37</v>
      </c>
      <c r="Y182" s="6">
        <v>4</v>
      </c>
    </row>
    <row r="183" spans="1:25">
      <c r="A183" t="s">
        <v>414</v>
      </c>
      <c r="B183" s="2">
        <v>45142</v>
      </c>
      <c r="C183">
        <v>2023</v>
      </c>
      <c r="D183" t="s">
        <v>369</v>
      </c>
      <c r="E183" t="s">
        <v>409</v>
      </c>
      <c r="F183" t="s">
        <v>51</v>
      </c>
      <c r="G183" t="s">
        <v>52</v>
      </c>
      <c r="H183" t="s">
        <v>102</v>
      </c>
      <c r="I183" t="s">
        <v>42</v>
      </c>
      <c r="J183" t="s">
        <v>375</v>
      </c>
      <c r="K183" t="s">
        <v>33</v>
      </c>
      <c r="L183" t="s">
        <v>34</v>
      </c>
      <c r="M183" t="s">
        <v>35</v>
      </c>
      <c r="N183" t="s">
        <v>44</v>
      </c>
      <c r="O183" s="3">
        <v>181.2</v>
      </c>
      <c r="P183">
        <v>5</v>
      </c>
      <c r="Q183" s="4">
        <v>0.2</v>
      </c>
      <c r="R183" s="3">
        <v>724.80000000000007</v>
      </c>
      <c r="S183" s="3">
        <v>91.34</v>
      </c>
      <c r="T183" s="3">
        <v>456.70000000000005</v>
      </c>
      <c r="U183" s="3">
        <v>268.10000000000002</v>
      </c>
      <c r="V183" s="5">
        <v>0.36989514348785874</v>
      </c>
      <c r="W183">
        <v>7</v>
      </c>
      <c r="X183" t="s">
        <v>37</v>
      </c>
      <c r="Y183" s="6">
        <v>4</v>
      </c>
    </row>
    <row r="184" spans="1:25">
      <c r="A184" t="s">
        <v>415</v>
      </c>
      <c r="B184" s="2">
        <v>45143</v>
      </c>
      <c r="C184">
        <v>2023</v>
      </c>
      <c r="D184" t="s">
        <v>369</v>
      </c>
      <c r="E184" t="s">
        <v>409</v>
      </c>
      <c r="F184" t="s">
        <v>51</v>
      </c>
      <c r="G184" t="s">
        <v>97</v>
      </c>
      <c r="H184" t="s">
        <v>98</v>
      </c>
      <c r="I184" t="s">
        <v>71</v>
      </c>
      <c r="J184" t="s">
        <v>373</v>
      </c>
      <c r="K184" t="s">
        <v>47</v>
      </c>
      <c r="L184" t="s">
        <v>55</v>
      </c>
      <c r="M184" t="s">
        <v>69</v>
      </c>
      <c r="N184" t="s">
        <v>44</v>
      </c>
      <c r="O184" s="3">
        <v>44.88</v>
      </c>
      <c r="P184">
        <v>11</v>
      </c>
      <c r="Q184" s="4">
        <v>0.15</v>
      </c>
      <c r="R184" s="3">
        <v>419.62799999999999</v>
      </c>
      <c r="S184" s="3">
        <v>22.17</v>
      </c>
      <c r="T184" s="3">
        <v>243.87</v>
      </c>
      <c r="U184" s="3">
        <v>175.75799999999998</v>
      </c>
      <c r="V184" s="5">
        <v>0.41884240327146899</v>
      </c>
      <c r="W184">
        <v>5</v>
      </c>
      <c r="X184" t="s">
        <v>37</v>
      </c>
      <c r="Y184" s="6">
        <v>4</v>
      </c>
    </row>
    <row r="185" spans="1:25">
      <c r="A185" t="s">
        <v>416</v>
      </c>
      <c r="B185" s="2">
        <v>45144</v>
      </c>
      <c r="C185">
        <v>2023</v>
      </c>
      <c r="D185" t="s">
        <v>369</v>
      </c>
      <c r="E185" t="s">
        <v>409</v>
      </c>
      <c r="F185" t="s">
        <v>28</v>
      </c>
      <c r="G185" t="s">
        <v>29</v>
      </c>
      <c r="H185" t="s">
        <v>106</v>
      </c>
      <c r="I185" t="s">
        <v>78</v>
      </c>
      <c r="J185" t="s">
        <v>248</v>
      </c>
      <c r="K185" t="s">
        <v>33</v>
      </c>
      <c r="L185" t="s">
        <v>34</v>
      </c>
      <c r="M185" t="s">
        <v>150</v>
      </c>
      <c r="N185" t="s">
        <v>44</v>
      </c>
      <c r="O185" s="3">
        <v>450.12</v>
      </c>
      <c r="P185">
        <v>3</v>
      </c>
      <c r="Q185" s="4">
        <v>0.2</v>
      </c>
      <c r="R185" s="3">
        <v>1080.2880000000002</v>
      </c>
      <c r="S185" s="3">
        <v>254.73</v>
      </c>
      <c r="T185" s="3">
        <v>764.18999999999994</v>
      </c>
      <c r="U185" s="3">
        <v>316.0980000000003</v>
      </c>
      <c r="V185" s="5">
        <v>0.29260530525193301</v>
      </c>
      <c r="W185">
        <v>3</v>
      </c>
      <c r="X185" t="s">
        <v>37</v>
      </c>
      <c r="Y185" s="6">
        <v>5</v>
      </c>
    </row>
    <row r="186" spans="1:25">
      <c r="A186" t="s">
        <v>417</v>
      </c>
      <c r="B186" s="2">
        <v>45145</v>
      </c>
      <c r="C186">
        <v>2023</v>
      </c>
      <c r="D186" t="s">
        <v>369</v>
      </c>
      <c r="E186" t="s">
        <v>409</v>
      </c>
      <c r="F186" t="s">
        <v>65</v>
      </c>
      <c r="G186" t="s">
        <v>66</v>
      </c>
      <c r="H186" t="s">
        <v>67</v>
      </c>
      <c r="I186" t="s">
        <v>71</v>
      </c>
      <c r="J186" t="s">
        <v>397</v>
      </c>
      <c r="K186" t="s">
        <v>33</v>
      </c>
      <c r="L186" t="s">
        <v>34</v>
      </c>
      <c r="M186" t="s">
        <v>35</v>
      </c>
      <c r="N186" t="s">
        <v>36</v>
      </c>
      <c r="O186" s="3">
        <v>175.02</v>
      </c>
      <c r="P186">
        <v>5</v>
      </c>
      <c r="Q186" s="4">
        <v>0.05</v>
      </c>
      <c r="R186" s="3">
        <v>831.34500000000003</v>
      </c>
      <c r="S186" s="3">
        <v>93.98</v>
      </c>
      <c r="T186" s="3">
        <v>469.90000000000003</v>
      </c>
      <c r="U186" s="3">
        <v>361.44499999999999</v>
      </c>
      <c r="V186" s="5">
        <v>0.43477136447563886</v>
      </c>
      <c r="W186">
        <v>7</v>
      </c>
      <c r="X186" t="s">
        <v>37</v>
      </c>
      <c r="Y186" s="6">
        <v>4</v>
      </c>
    </row>
    <row r="187" spans="1:25">
      <c r="A187" t="s">
        <v>418</v>
      </c>
      <c r="B187" s="2">
        <v>45147</v>
      </c>
      <c r="C187">
        <v>2023</v>
      </c>
      <c r="D187" t="s">
        <v>369</v>
      </c>
      <c r="E187" t="s">
        <v>409</v>
      </c>
      <c r="F187" t="s">
        <v>28</v>
      </c>
      <c r="G187" t="s">
        <v>29</v>
      </c>
      <c r="H187" t="s">
        <v>106</v>
      </c>
      <c r="I187" t="s">
        <v>78</v>
      </c>
      <c r="J187" t="s">
        <v>419</v>
      </c>
      <c r="K187" t="s">
        <v>61</v>
      </c>
      <c r="L187" t="s">
        <v>84</v>
      </c>
      <c r="M187" t="s">
        <v>85</v>
      </c>
      <c r="N187" t="s">
        <v>44</v>
      </c>
      <c r="O187" s="3">
        <v>150.9</v>
      </c>
      <c r="P187">
        <v>2</v>
      </c>
      <c r="Q187" s="4">
        <v>0</v>
      </c>
      <c r="R187" s="3">
        <v>301.8</v>
      </c>
      <c r="S187" s="3">
        <v>72.540000000000006</v>
      </c>
      <c r="T187" s="3">
        <v>145.08000000000001</v>
      </c>
      <c r="U187" s="3">
        <v>156.72</v>
      </c>
      <c r="V187" s="5">
        <v>0.51928429423459244</v>
      </c>
      <c r="W187">
        <v>6</v>
      </c>
      <c r="X187" t="s">
        <v>37</v>
      </c>
      <c r="Y187" s="6">
        <v>4</v>
      </c>
    </row>
    <row r="188" spans="1:25">
      <c r="A188" t="s">
        <v>420</v>
      </c>
      <c r="B188" s="2">
        <v>45147</v>
      </c>
      <c r="C188">
        <v>2023</v>
      </c>
      <c r="D188" t="s">
        <v>369</v>
      </c>
      <c r="E188" t="s">
        <v>409</v>
      </c>
      <c r="F188" t="s">
        <v>28</v>
      </c>
      <c r="G188" t="s">
        <v>29</v>
      </c>
      <c r="H188" t="s">
        <v>30</v>
      </c>
      <c r="I188" t="s">
        <v>42</v>
      </c>
      <c r="J188" t="s">
        <v>161</v>
      </c>
      <c r="K188" t="s">
        <v>33</v>
      </c>
      <c r="L188" t="s">
        <v>34</v>
      </c>
      <c r="M188" t="s">
        <v>150</v>
      </c>
      <c r="N188" t="s">
        <v>44</v>
      </c>
      <c r="O188" s="3">
        <v>411.17</v>
      </c>
      <c r="P188">
        <v>4</v>
      </c>
      <c r="Q188" s="4">
        <v>0.05</v>
      </c>
      <c r="R188" s="3">
        <v>1562.4459999999999</v>
      </c>
      <c r="S188" s="3">
        <v>252.78</v>
      </c>
      <c r="T188" s="3">
        <v>1011.12</v>
      </c>
      <c r="U188" s="3">
        <v>551.32599999999991</v>
      </c>
      <c r="V188" s="5">
        <v>0.35286083487045311</v>
      </c>
      <c r="W188">
        <v>4</v>
      </c>
      <c r="X188" t="s">
        <v>37</v>
      </c>
      <c r="Y188" s="6">
        <v>5</v>
      </c>
    </row>
    <row r="189" spans="1:25">
      <c r="A189" t="s">
        <v>421</v>
      </c>
      <c r="B189" s="2">
        <v>45147</v>
      </c>
      <c r="C189">
        <v>2023</v>
      </c>
      <c r="D189" t="s">
        <v>369</v>
      </c>
      <c r="E189" t="s">
        <v>409</v>
      </c>
      <c r="F189" t="s">
        <v>39</v>
      </c>
      <c r="G189" t="s">
        <v>40</v>
      </c>
      <c r="H189" t="s">
        <v>41</v>
      </c>
      <c r="I189" t="s">
        <v>42</v>
      </c>
      <c r="J189" t="s">
        <v>422</v>
      </c>
      <c r="K189" t="s">
        <v>33</v>
      </c>
      <c r="L189" t="s">
        <v>73</v>
      </c>
      <c r="M189" t="s">
        <v>138</v>
      </c>
      <c r="N189" t="s">
        <v>44</v>
      </c>
      <c r="O189" s="3">
        <v>334.38</v>
      </c>
      <c r="P189">
        <v>5</v>
      </c>
      <c r="Q189" s="4">
        <v>0</v>
      </c>
      <c r="R189" s="3">
        <v>1671.9</v>
      </c>
      <c r="S189" s="3">
        <v>173.57</v>
      </c>
      <c r="T189" s="3">
        <v>867.84999999999991</v>
      </c>
      <c r="U189" s="3">
        <v>804.05000000000018</v>
      </c>
      <c r="V189" s="5">
        <v>0.48091991147795932</v>
      </c>
      <c r="W189">
        <v>6</v>
      </c>
      <c r="X189" t="s">
        <v>37</v>
      </c>
      <c r="Y189" s="6">
        <v>4</v>
      </c>
    </row>
    <row r="190" spans="1:25">
      <c r="A190" t="s">
        <v>423</v>
      </c>
      <c r="B190" s="2">
        <v>45148</v>
      </c>
      <c r="C190">
        <v>2023</v>
      </c>
      <c r="D190" t="s">
        <v>369</v>
      </c>
      <c r="E190" t="s">
        <v>409</v>
      </c>
      <c r="F190" t="s">
        <v>28</v>
      </c>
      <c r="G190" t="s">
        <v>29</v>
      </c>
      <c r="H190" t="s">
        <v>30</v>
      </c>
      <c r="I190" t="s">
        <v>71</v>
      </c>
      <c r="J190" t="s">
        <v>424</v>
      </c>
      <c r="K190" t="s">
        <v>61</v>
      </c>
      <c r="L190" t="s">
        <v>80</v>
      </c>
      <c r="M190" t="s">
        <v>81</v>
      </c>
      <c r="N190" t="s">
        <v>44</v>
      </c>
      <c r="O190" s="3">
        <v>1015.69</v>
      </c>
      <c r="P190">
        <v>3</v>
      </c>
      <c r="Q190" s="4">
        <v>0.1</v>
      </c>
      <c r="R190" s="3">
        <v>2742.3630000000003</v>
      </c>
      <c r="S190" s="3">
        <v>665.19</v>
      </c>
      <c r="T190" s="3">
        <v>1995.5700000000002</v>
      </c>
      <c r="U190" s="3">
        <v>746.79300000000012</v>
      </c>
      <c r="V190" s="5">
        <v>0.27231734092095028</v>
      </c>
      <c r="W190">
        <v>5</v>
      </c>
      <c r="X190" t="s">
        <v>37</v>
      </c>
      <c r="Y190" s="6">
        <v>4</v>
      </c>
    </row>
    <row r="191" spans="1:25">
      <c r="A191" t="s">
        <v>425</v>
      </c>
      <c r="B191" s="2">
        <v>45148</v>
      </c>
      <c r="C191">
        <v>2023</v>
      </c>
      <c r="D191" t="s">
        <v>369</v>
      </c>
      <c r="E191" t="s">
        <v>409</v>
      </c>
      <c r="F191" t="s">
        <v>51</v>
      </c>
      <c r="G191" t="s">
        <v>97</v>
      </c>
      <c r="H191" t="s">
        <v>98</v>
      </c>
      <c r="I191" t="s">
        <v>78</v>
      </c>
      <c r="J191" t="s">
        <v>426</v>
      </c>
      <c r="K191" t="s">
        <v>47</v>
      </c>
      <c r="L191" t="s">
        <v>48</v>
      </c>
      <c r="M191" t="s">
        <v>49</v>
      </c>
      <c r="N191" t="s">
        <v>44</v>
      </c>
      <c r="O191" s="3">
        <v>32.93</v>
      </c>
      <c r="P191">
        <v>11</v>
      </c>
      <c r="Q191" s="4">
        <v>0.15</v>
      </c>
      <c r="R191" s="3">
        <v>307.89550000000003</v>
      </c>
      <c r="S191" s="3">
        <v>14.37</v>
      </c>
      <c r="T191" s="3">
        <v>158.07</v>
      </c>
      <c r="U191" s="3">
        <v>149.82550000000003</v>
      </c>
      <c r="V191" s="5">
        <v>0.48661152891159509</v>
      </c>
      <c r="W191">
        <v>6</v>
      </c>
      <c r="X191" t="s">
        <v>37</v>
      </c>
      <c r="Y191" s="6">
        <v>4</v>
      </c>
    </row>
    <row r="192" spans="1:25">
      <c r="A192" t="s">
        <v>427</v>
      </c>
      <c r="B192" s="2">
        <v>45148</v>
      </c>
      <c r="C192">
        <v>2023</v>
      </c>
      <c r="D192" t="s">
        <v>369</v>
      </c>
      <c r="E192" t="s">
        <v>409</v>
      </c>
      <c r="F192" t="s">
        <v>28</v>
      </c>
      <c r="G192" t="s">
        <v>29</v>
      </c>
      <c r="H192" t="s">
        <v>30</v>
      </c>
      <c r="I192" t="s">
        <v>71</v>
      </c>
      <c r="J192" t="s">
        <v>428</v>
      </c>
      <c r="K192" t="s">
        <v>33</v>
      </c>
      <c r="L192" t="s">
        <v>73</v>
      </c>
      <c r="M192" t="s">
        <v>74</v>
      </c>
      <c r="N192" t="s">
        <v>44</v>
      </c>
      <c r="O192" s="3">
        <v>725.84</v>
      </c>
      <c r="P192">
        <v>4</v>
      </c>
      <c r="Q192" s="4">
        <v>0</v>
      </c>
      <c r="R192" s="3">
        <v>2903.36</v>
      </c>
      <c r="S192" s="3">
        <v>411.58</v>
      </c>
      <c r="T192" s="3">
        <v>1646.32</v>
      </c>
      <c r="U192" s="3">
        <v>1257.0400000000002</v>
      </c>
      <c r="V192" s="5">
        <v>0.43296043205114082</v>
      </c>
      <c r="W192">
        <v>3</v>
      </c>
      <c r="X192" t="s">
        <v>58</v>
      </c>
      <c r="Y192" s="6">
        <v>3</v>
      </c>
    </row>
    <row r="193" spans="1:25">
      <c r="A193" t="s">
        <v>429</v>
      </c>
      <c r="B193" s="2">
        <v>45149</v>
      </c>
      <c r="C193">
        <v>2023</v>
      </c>
      <c r="D193" t="s">
        <v>369</v>
      </c>
      <c r="E193" t="s">
        <v>409</v>
      </c>
      <c r="F193" t="s">
        <v>51</v>
      </c>
      <c r="G193" t="s">
        <v>52</v>
      </c>
      <c r="H193" t="s">
        <v>102</v>
      </c>
      <c r="I193" t="s">
        <v>71</v>
      </c>
      <c r="J193" t="s">
        <v>330</v>
      </c>
      <c r="K193" t="s">
        <v>61</v>
      </c>
      <c r="L193" t="s">
        <v>62</v>
      </c>
      <c r="M193" t="s">
        <v>63</v>
      </c>
      <c r="N193" t="s">
        <v>36</v>
      </c>
      <c r="O193" s="3">
        <v>92.03</v>
      </c>
      <c r="P193">
        <v>5</v>
      </c>
      <c r="Q193" s="4">
        <v>0</v>
      </c>
      <c r="R193" s="3">
        <v>460.15</v>
      </c>
      <c r="S193" s="3">
        <v>45.2</v>
      </c>
      <c r="T193" s="3">
        <v>226</v>
      </c>
      <c r="U193" s="3">
        <v>234.14999999999998</v>
      </c>
      <c r="V193" s="5">
        <v>0.50885580788873186</v>
      </c>
      <c r="W193">
        <v>3</v>
      </c>
      <c r="X193" t="s">
        <v>37</v>
      </c>
      <c r="Y193" s="6">
        <v>5</v>
      </c>
    </row>
    <row r="194" spans="1:25">
      <c r="A194" t="s">
        <v>430</v>
      </c>
      <c r="B194" s="2">
        <v>45150</v>
      </c>
      <c r="C194">
        <v>2023</v>
      </c>
      <c r="D194" t="s">
        <v>369</v>
      </c>
      <c r="E194" t="s">
        <v>409</v>
      </c>
      <c r="F194" t="s">
        <v>65</v>
      </c>
      <c r="G194" t="s">
        <v>76</v>
      </c>
      <c r="H194" t="s">
        <v>126</v>
      </c>
      <c r="I194" t="s">
        <v>78</v>
      </c>
      <c r="J194" t="s">
        <v>431</v>
      </c>
      <c r="K194" t="s">
        <v>33</v>
      </c>
      <c r="L194" t="s">
        <v>88</v>
      </c>
      <c r="M194" t="s">
        <v>89</v>
      </c>
      <c r="N194" t="s">
        <v>57</v>
      </c>
      <c r="O194" s="3">
        <v>245.4</v>
      </c>
      <c r="P194">
        <v>2</v>
      </c>
      <c r="Q194" s="4">
        <v>0</v>
      </c>
      <c r="R194" s="3">
        <v>490.8</v>
      </c>
      <c r="S194" s="3">
        <v>127.92</v>
      </c>
      <c r="T194" s="3">
        <v>255.84</v>
      </c>
      <c r="U194" s="3">
        <v>234.96</v>
      </c>
      <c r="V194" s="5">
        <v>0.47872860635696823</v>
      </c>
      <c r="W194">
        <v>6</v>
      </c>
      <c r="X194" t="s">
        <v>37</v>
      </c>
      <c r="Y194" s="6">
        <v>4</v>
      </c>
    </row>
    <row r="195" spans="1:25">
      <c r="A195" t="s">
        <v>432</v>
      </c>
      <c r="B195" s="2">
        <v>45151</v>
      </c>
      <c r="C195">
        <v>2023</v>
      </c>
      <c r="D195" t="s">
        <v>369</v>
      </c>
      <c r="E195" t="s">
        <v>409</v>
      </c>
      <c r="F195" t="s">
        <v>51</v>
      </c>
      <c r="G195" t="s">
        <v>52</v>
      </c>
      <c r="H195" t="s">
        <v>53</v>
      </c>
      <c r="I195" t="s">
        <v>71</v>
      </c>
      <c r="J195" t="s">
        <v>46</v>
      </c>
      <c r="K195" t="s">
        <v>61</v>
      </c>
      <c r="L195" t="s">
        <v>84</v>
      </c>
      <c r="M195" t="s">
        <v>135</v>
      </c>
      <c r="N195" t="s">
        <v>44</v>
      </c>
      <c r="O195" s="3">
        <v>866.12</v>
      </c>
      <c r="P195">
        <v>2</v>
      </c>
      <c r="Q195" s="4">
        <v>0.2</v>
      </c>
      <c r="R195" s="3">
        <v>1385.7920000000001</v>
      </c>
      <c r="S195" s="3">
        <v>583.78</v>
      </c>
      <c r="T195" s="3">
        <v>1167.56</v>
      </c>
      <c r="U195" s="3">
        <v>218.2320000000002</v>
      </c>
      <c r="V195" s="5">
        <v>0.15747817854338902</v>
      </c>
      <c r="W195">
        <v>5</v>
      </c>
      <c r="X195" t="s">
        <v>37</v>
      </c>
      <c r="Y195" s="6">
        <v>4</v>
      </c>
    </row>
    <row r="196" spans="1:25">
      <c r="A196" t="s">
        <v>433</v>
      </c>
      <c r="B196" s="2">
        <v>45153</v>
      </c>
      <c r="C196">
        <v>2023</v>
      </c>
      <c r="D196" t="s">
        <v>369</v>
      </c>
      <c r="E196" t="s">
        <v>409</v>
      </c>
      <c r="F196" t="s">
        <v>65</v>
      </c>
      <c r="G196" t="s">
        <v>76</v>
      </c>
      <c r="H196" t="s">
        <v>77</v>
      </c>
      <c r="I196" t="s">
        <v>71</v>
      </c>
      <c r="J196" t="s">
        <v>434</v>
      </c>
      <c r="K196" t="s">
        <v>33</v>
      </c>
      <c r="L196" t="s">
        <v>88</v>
      </c>
      <c r="M196" t="s">
        <v>89</v>
      </c>
      <c r="N196" t="s">
        <v>36</v>
      </c>
      <c r="O196" s="3">
        <v>250.64</v>
      </c>
      <c r="P196">
        <v>1</v>
      </c>
      <c r="Q196" s="4">
        <v>0</v>
      </c>
      <c r="R196" s="3">
        <v>250.64</v>
      </c>
      <c r="S196" s="3">
        <v>132.85</v>
      </c>
      <c r="T196" s="3">
        <v>132.85</v>
      </c>
      <c r="U196" s="3">
        <v>117.78999999999999</v>
      </c>
      <c r="V196" s="5">
        <v>0.4699569103096074</v>
      </c>
      <c r="W196">
        <v>5</v>
      </c>
      <c r="X196" t="s">
        <v>37</v>
      </c>
      <c r="Y196" s="6">
        <v>5</v>
      </c>
    </row>
    <row r="197" spans="1:25">
      <c r="A197" t="s">
        <v>435</v>
      </c>
      <c r="B197" s="2">
        <v>45153</v>
      </c>
      <c r="C197">
        <v>2023</v>
      </c>
      <c r="D197" t="s">
        <v>369</v>
      </c>
      <c r="E197" t="s">
        <v>409</v>
      </c>
      <c r="F197" t="s">
        <v>28</v>
      </c>
      <c r="G197" t="s">
        <v>29</v>
      </c>
      <c r="H197" t="s">
        <v>30</v>
      </c>
      <c r="I197" t="s">
        <v>78</v>
      </c>
      <c r="J197" t="s">
        <v>436</v>
      </c>
      <c r="K197" t="s">
        <v>33</v>
      </c>
      <c r="L197" t="s">
        <v>88</v>
      </c>
      <c r="M197" t="s">
        <v>100</v>
      </c>
      <c r="N197" t="s">
        <v>44</v>
      </c>
      <c r="O197" s="3">
        <v>308.69</v>
      </c>
      <c r="P197">
        <v>2</v>
      </c>
      <c r="Q197" s="4">
        <v>0</v>
      </c>
      <c r="R197" s="3">
        <v>617.38</v>
      </c>
      <c r="S197" s="3">
        <v>155.68</v>
      </c>
      <c r="T197" s="3">
        <v>311.36</v>
      </c>
      <c r="U197" s="3">
        <v>306.02</v>
      </c>
      <c r="V197" s="5">
        <v>0.49567527292753244</v>
      </c>
      <c r="W197">
        <v>2</v>
      </c>
      <c r="X197" t="s">
        <v>37</v>
      </c>
      <c r="Y197" s="6">
        <v>5</v>
      </c>
    </row>
    <row r="198" spans="1:25">
      <c r="A198" t="s">
        <v>437</v>
      </c>
      <c r="B198" s="2">
        <v>45153</v>
      </c>
      <c r="C198">
        <v>2023</v>
      </c>
      <c r="D198" t="s">
        <v>369</v>
      </c>
      <c r="E198" t="s">
        <v>409</v>
      </c>
      <c r="F198" t="s">
        <v>28</v>
      </c>
      <c r="G198" t="s">
        <v>29</v>
      </c>
      <c r="H198" t="s">
        <v>60</v>
      </c>
      <c r="I198" t="s">
        <v>31</v>
      </c>
      <c r="J198" t="s">
        <v>79</v>
      </c>
      <c r="K198" t="s">
        <v>47</v>
      </c>
      <c r="L198" t="s">
        <v>114</v>
      </c>
      <c r="M198" t="s">
        <v>115</v>
      </c>
      <c r="N198" t="s">
        <v>57</v>
      </c>
      <c r="O198" s="3">
        <v>18.3</v>
      </c>
      <c r="P198">
        <v>7</v>
      </c>
      <c r="Q198" s="4">
        <v>0</v>
      </c>
      <c r="R198" s="3">
        <v>128.1</v>
      </c>
      <c r="S198" s="3">
        <v>6.98</v>
      </c>
      <c r="T198" s="3">
        <v>48.86</v>
      </c>
      <c r="U198" s="3">
        <v>79.239999999999995</v>
      </c>
      <c r="V198" s="5">
        <v>0.61857923497267764</v>
      </c>
      <c r="W198">
        <v>7</v>
      </c>
      <c r="X198" t="s">
        <v>37</v>
      </c>
      <c r="Y198" s="6">
        <v>4</v>
      </c>
    </row>
    <row r="199" spans="1:25">
      <c r="A199" t="s">
        <v>438</v>
      </c>
      <c r="B199" s="2">
        <v>45154</v>
      </c>
      <c r="C199">
        <v>2023</v>
      </c>
      <c r="D199" t="s">
        <v>369</v>
      </c>
      <c r="E199" t="s">
        <v>409</v>
      </c>
      <c r="F199" t="s">
        <v>65</v>
      </c>
      <c r="G199" t="s">
        <v>66</v>
      </c>
      <c r="H199" t="s">
        <v>67</v>
      </c>
      <c r="I199" t="s">
        <v>71</v>
      </c>
      <c r="J199" t="s">
        <v>439</v>
      </c>
      <c r="K199" t="s">
        <v>61</v>
      </c>
      <c r="L199" t="s">
        <v>84</v>
      </c>
      <c r="M199" t="s">
        <v>85</v>
      </c>
      <c r="N199" t="s">
        <v>44</v>
      </c>
      <c r="O199" s="3">
        <v>142.84</v>
      </c>
      <c r="P199">
        <v>1</v>
      </c>
      <c r="Q199" s="4">
        <v>0.05</v>
      </c>
      <c r="R199" s="3">
        <v>135.69800000000001</v>
      </c>
      <c r="S199" s="3">
        <v>72.66</v>
      </c>
      <c r="T199" s="3">
        <v>72.66</v>
      </c>
      <c r="U199" s="3">
        <v>63.038000000000011</v>
      </c>
      <c r="V199" s="5">
        <v>0.46454627186841374</v>
      </c>
      <c r="W199">
        <v>2</v>
      </c>
      <c r="X199" t="s">
        <v>37</v>
      </c>
      <c r="Y199" s="6">
        <v>5</v>
      </c>
    </row>
    <row r="200" spans="1:25">
      <c r="A200" t="s">
        <v>440</v>
      </c>
      <c r="B200" s="2">
        <v>45158</v>
      </c>
      <c r="C200">
        <v>2023</v>
      </c>
      <c r="D200" t="s">
        <v>369</v>
      </c>
      <c r="E200" t="s">
        <v>409</v>
      </c>
      <c r="F200" t="s">
        <v>39</v>
      </c>
      <c r="G200" t="s">
        <v>111</v>
      </c>
      <c r="H200" t="s">
        <v>112</v>
      </c>
      <c r="I200" t="s">
        <v>78</v>
      </c>
      <c r="J200" t="s">
        <v>256</v>
      </c>
      <c r="K200" t="s">
        <v>61</v>
      </c>
      <c r="L200" t="s">
        <v>62</v>
      </c>
      <c r="M200" t="s">
        <v>195</v>
      </c>
      <c r="N200" t="s">
        <v>44</v>
      </c>
      <c r="O200" s="3">
        <v>76.53</v>
      </c>
      <c r="P200">
        <v>3</v>
      </c>
      <c r="Q200" s="4">
        <v>0.15</v>
      </c>
      <c r="R200" s="3">
        <v>195.1515</v>
      </c>
      <c r="S200" s="3">
        <v>32.18</v>
      </c>
      <c r="T200" s="3">
        <v>96.539999999999992</v>
      </c>
      <c r="U200" s="3">
        <v>98.611500000000007</v>
      </c>
      <c r="V200" s="5">
        <v>0.50530741500833976</v>
      </c>
      <c r="W200">
        <v>5</v>
      </c>
      <c r="X200" t="s">
        <v>58</v>
      </c>
      <c r="Y200" s="6">
        <v>3</v>
      </c>
    </row>
    <row r="201" spans="1:25">
      <c r="A201" t="s">
        <v>441</v>
      </c>
      <c r="B201" s="2">
        <v>45160</v>
      </c>
      <c r="C201">
        <v>2023</v>
      </c>
      <c r="D201" t="s">
        <v>369</v>
      </c>
      <c r="E201" t="s">
        <v>409</v>
      </c>
      <c r="F201" t="s">
        <v>39</v>
      </c>
      <c r="G201" t="s">
        <v>111</v>
      </c>
      <c r="H201" t="s">
        <v>112</v>
      </c>
      <c r="I201" t="s">
        <v>42</v>
      </c>
      <c r="J201" t="s">
        <v>205</v>
      </c>
      <c r="K201" t="s">
        <v>33</v>
      </c>
      <c r="L201" t="s">
        <v>73</v>
      </c>
      <c r="M201" t="s">
        <v>138</v>
      </c>
      <c r="N201" t="s">
        <v>57</v>
      </c>
      <c r="O201" s="3">
        <v>329.19</v>
      </c>
      <c r="P201">
        <v>1</v>
      </c>
      <c r="Q201" s="4">
        <v>0</v>
      </c>
      <c r="R201" s="3">
        <v>329.19</v>
      </c>
      <c r="S201" s="3">
        <v>181.41</v>
      </c>
      <c r="T201" s="3">
        <v>181.41</v>
      </c>
      <c r="U201" s="3">
        <v>147.78</v>
      </c>
      <c r="V201" s="5">
        <v>0.4489200765515356</v>
      </c>
      <c r="W201">
        <v>5</v>
      </c>
      <c r="X201" t="s">
        <v>58</v>
      </c>
      <c r="Y201" s="6">
        <v>3</v>
      </c>
    </row>
    <row r="202" spans="1:25">
      <c r="A202" t="s">
        <v>442</v>
      </c>
      <c r="B202" s="2">
        <v>45162</v>
      </c>
      <c r="C202">
        <v>2023</v>
      </c>
      <c r="D202" t="s">
        <v>369</v>
      </c>
      <c r="E202" t="s">
        <v>409</v>
      </c>
      <c r="F202" t="s">
        <v>28</v>
      </c>
      <c r="G202" t="s">
        <v>29</v>
      </c>
      <c r="H202" t="s">
        <v>106</v>
      </c>
      <c r="I202" t="s">
        <v>42</v>
      </c>
      <c r="J202" t="s">
        <v>443</v>
      </c>
      <c r="K202" t="s">
        <v>33</v>
      </c>
      <c r="L202" t="s">
        <v>73</v>
      </c>
      <c r="M202" t="s">
        <v>74</v>
      </c>
      <c r="N202" t="s">
        <v>57</v>
      </c>
      <c r="O202" s="3">
        <v>675.54</v>
      </c>
      <c r="P202">
        <v>4</v>
      </c>
      <c r="Q202" s="4">
        <v>0</v>
      </c>
      <c r="R202" s="3">
        <v>2702.16</v>
      </c>
      <c r="S202" s="3">
        <v>426.52</v>
      </c>
      <c r="T202" s="3">
        <v>1706.08</v>
      </c>
      <c r="U202" s="3">
        <v>996.07999999999993</v>
      </c>
      <c r="V202" s="5">
        <v>0.36862361962282025</v>
      </c>
      <c r="W202">
        <v>1</v>
      </c>
      <c r="X202" t="s">
        <v>37</v>
      </c>
      <c r="Y202" s="6">
        <v>5</v>
      </c>
    </row>
    <row r="203" spans="1:25">
      <c r="A203" t="s">
        <v>444</v>
      </c>
      <c r="B203" s="2">
        <v>45163</v>
      </c>
      <c r="C203">
        <v>2023</v>
      </c>
      <c r="D203" t="s">
        <v>369</v>
      </c>
      <c r="E203" t="s">
        <v>409</v>
      </c>
      <c r="F203" t="s">
        <v>65</v>
      </c>
      <c r="G203" t="s">
        <v>76</v>
      </c>
      <c r="H203" t="s">
        <v>77</v>
      </c>
      <c r="I203" t="s">
        <v>31</v>
      </c>
      <c r="J203" t="s">
        <v>205</v>
      </c>
      <c r="K203" t="s">
        <v>47</v>
      </c>
      <c r="L203" t="s">
        <v>48</v>
      </c>
      <c r="M203" t="s">
        <v>49</v>
      </c>
      <c r="N203" t="s">
        <v>36</v>
      </c>
      <c r="O203" s="3">
        <v>30.44</v>
      </c>
      <c r="P203">
        <v>3</v>
      </c>
      <c r="Q203" s="4">
        <v>0.05</v>
      </c>
      <c r="R203" s="3">
        <v>86.754000000000005</v>
      </c>
      <c r="S203" s="3">
        <v>13.7</v>
      </c>
      <c r="T203" s="3">
        <v>41.099999999999994</v>
      </c>
      <c r="U203" s="3">
        <v>45.654000000000011</v>
      </c>
      <c r="V203" s="5">
        <v>0.526246628397538</v>
      </c>
      <c r="W203">
        <v>2</v>
      </c>
      <c r="X203" t="s">
        <v>37</v>
      </c>
      <c r="Y203" s="6">
        <v>5</v>
      </c>
    </row>
    <row r="204" spans="1:25">
      <c r="A204" t="s">
        <v>445</v>
      </c>
      <c r="B204" s="2">
        <v>45164</v>
      </c>
      <c r="C204">
        <v>2023</v>
      </c>
      <c r="D204" t="s">
        <v>369</v>
      </c>
      <c r="E204" t="s">
        <v>409</v>
      </c>
      <c r="F204" t="s">
        <v>28</v>
      </c>
      <c r="G204" t="s">
        <v>29</v>
      </c>
      <c r="H204" t="s">
        <v>30</v>
      </c>
      <c r="I204" t="s">
        <v>71</v>
      </c>
      <c r="J204" t="s">
        <v>446</v>
      </c>
      <c r="K204" t="s">
        <v>61</v>
      </c>
      <c r="L204" t="s">
        <v>80</v>
      </c>
      <c r="M204" t="s">
        <v>187</v>
      </c>
      <c r="N204" t="s">
        <v>44</v>
      </c>
      <c r="O204" s="3">
        <v>1307.8900000000001</v>
      </c>
      <c r="P204">
        <v>3</v>
      </c>
      <c r="Q204" s="4">
        <v>0</v>
      </c>
      <c r="R204" s="3">
        <v>3923.67</v>
      </c>
      <c r="S204" s="3">
        <v>842.69</v>
      </c>
      <c r="T204" s="3">
        <v>2528.0700000000002</v>
      </c>
      <c r="U204" s="3">
        <v>1395.6</v>
      </c>
      <c r="V204" s="5">
        <v>0.35568740490408213</v>
      </c>
      <c r="W204">
        <v>5</v>
      </c>
      <c r="X204" t="s">
        <v>37</v>
      </c>
      <c r="Y204" s="6">
        <v>4</v>
      </c>
    </row>
    <row r="205" spans="1:25">
      <c r="A205" t="s">
        <v>447</v>
      </c>
      <c r="B205" s="2">
        <v>45166</v>
      </c>
      <c r="C205">
        <v>2023</v>
      </c>
      <c r="D205" t="s">
        <v>369</v>
      </c>
      <c r="E205" t="s">
        <v>409</v>
      </c>
      <c r="F205" t="s">
        <v>51</v>
      </c>
      <c r="G205" t="s">
        <v>52</v>
      </c>
      <c r="H205" t="s">
        <v>102</v>
      </c>
      <c r="I205" t="s">
        <v>31</v>
      </c>
      <c r="J205" t="s">
        <v>448</v>
      </c>
      <c r="K205" t="s">
        <v>47</v>
      </c>
      <c r="L205" t="s">
        <v>48</v>
      </c>
      <c r="M205" t="s">
        <v>104</v>
      </c>
      <c r="N205" t="s">
        <v>44</v>
      </c>
      <c r="O205" s="3">
        <v>52.12</v>
      </c>
      <c r="P205">
        <v>4</v>
      </c>
      <c r="Q205" s="4">
        <v>0</v>
      </c>
      <c r="R205" s="3">
        <v>208.48</v>
      </c>
      <c r="S205" s="3">
        <v>30.24</v>
      </c>
      <c r="T205" s="3">
        <v>120.96</v>
      </c>
      <c r="U205" s="3">
        <v>87.52</v>
      </c>
      <c r="V205" s="5">
        <v>0.41980046047582503</v>
      </c>
      <c r="W205">
        <v>8</v>
      </c>
      <c r="X205" t="s">
        <v>37</v>
      </c>
      <c r="Y205" s="6">
        <v>3</v>
      </c>
    </row>
    <row r="206" spans="1:25">
      <c r="A206" t="s">
        <v>449</v>
      </c>
      <c r="B206" s="2">
        <v>45167</v>
      </c>
      <c r="C206">
        <v>2023</v>
      </c>
      <c r="D206" t="s">
        <v>369</v>
      </c>
      <c r="E206" t="s">
        <v>409</v>
      </c>
      <c r="F206" t="s">
        <v>28</v>
      </c>
      <c r="G206" t="s">
        <v>29</v>
      </c>
      <c r="H206" t="s">
        <v>60</v>
      </c>
      <c r="I206" t="s">
        <v>78</v>
      </c>
      <c r="J206" t="s">
        <v>450</v>
      </c>
      <c r="K206" t="s">
        <v>33</v>
      </c>
      <c r="L206" t="s">
        <v>73</v>
      </c>
      <c r="M206" t="s">
        <v>138</v>
      </c>
      <c r="N206" t="s">
        <v>57</v>
      </c>
      <c r="O206" s="3">
        <v>322.70999999999998</v>
      </c>
      <c r="P206">
        <v>3</v>
      </c>
      <c r="Q206" s="4">
        <v>0</v>
      </c>
      <c r="R206" s="3">
        <v>968.12999999999988</v>
      </c>
      <c r="S206" s="3">
        <v>180.67</v>
      </c>
      <c r="T206" s="3">
        <v>542.01</v>
      </c>
      <c r="U206" s="3">
        <v>426.11999999999989</v>
      </c>
      <c r="V206" s="5">
        <v>0.4401475008521582</v>
      </c>
      <c r="W206">
        <v>7</v>
      </c>
      <c r="X206" t="s">
        <v>37</v>
      </c>
      <c r="Y206" s="6">
        <v>4</v>
      </c>
    </row>
    <row r="207" spans="1:25">
      <c r="A207" t="s">
        <v>451</v>
      </c>
      <c r="B207" s="2">
        <v>45167</v>
      </c>
      <c r="C207">
        <v>2023</v>
      </c>
      <c r="D207" t="s">
        <v>369</v>
      </c>
      <c r="E207" t="s">
        <v>409</v>
      </c>
      <c r="F207" t="s">
        <v>51</v>
      </c>
      <c r="G207" t="s">
        <v>52</v>
      </c>
      <c r="H207" t="s">
        <v>102</v>
      </c>
      <c r="I207" t="s">
        <v>42</v>
      </c>
      <c r="J207" t="s">
        <v>452</v>
      </c>
      <c r="K207" t="s">
        <v>33</v>
      </c>
      <c r="L207" t="s">
        <v>73</v>
      </c>
      <c r="M207" t="s">
        <v>138</v>
      </c>
      <c r="N207" t="s">
        <v>44</v>
      </c>
      <c r="O207" s="3">
        <v>323.42</v>
      </c>
      <c r="P207">
        <v>2</v>
      </c>
      <c r="Q207" s="4">
        <v>0</v>
      </c>
      <c r="R207" s="3">
        <v>646.84</v>
      </c>
      <c r="S207" s="3">
        <v>176.86</v>
      </c>
      <c r="T207" s="3">
        <v>353.72</v>
      </c>
      <c r="U207" s="3">
        <v>293.12</v>
      </c>
      <c r="V207" s="5">
        <v>0.45315688578319213</v>
      </c>
      <c r="W207">
        <v>4</v>
      </c>
      <c r="X207" t="s">
        <v>37</v>
      </c>
      <c r="Y207" s="6">
        <v>4</v>
      </c>
    </row>
    <row r="208" spans="1:25">
      <c r="A208" t="s">
        <v>453</v>
      </c>
      <c r="B208" s="2">
        <v>45167</v>
      </c>
      <c r="C208">
        <v>2023</v>
      </c>
      <c r="D208" t="s">
        <v>369</v>
      </c>
      <c r="E208" t="s">
        <v>409</v>
      </c>
      <c r="F208" t="s">
        <v>65</v>
      </c>
      <c r="G208" t="s">
        <v>66</v>
      </c>
      <c r="H208" t="s">
        <v>67</v>
      </c>
      <c r="I208" t="s">
        <v>42</v>
      </c>
      <c r="J208" t="s">
        <v>454</v>
      </c>
      <c r="K208" t="s">
        <v>33</v>
      </c>
      <c r="L208" t="s">
        <v>73</v>
      </c>
      <c r="M208" t="s">
        <v>138</v>
      </c>
      <c r="N208" t="s">
        <v>57</v>
      </c>
      <c r="O208" s="3">
        <v>330</v>
      </c>
      <c r="P208">
        <v>1</v>
      </c>
      <c r="Q208" s="4">
        <v>0.05</v>
      </c>
      <c r="R208" s="3">
        <v>313.5</v>
      </c>
      <c r="S208" s="3">
        <v>178.81</v>
      </c>
      <c r="T208" s="3">
        <v>178.81</v>
      </c>
      <c r="U208" s="3">
        <v>134.69</v>
      </c>
      <c r="V208" s="5">
        <v>0.42963317384370014</v>
      </c>
      <c r="W208">
        <v>7</v>
      </c>
      <c r="X208" t="s">
        <v>37</v>
      </c>
      <c r="Y208" s="6">
        <v>4</v>
      </c>
    </row>
    <row r="209" spans="1:25">
      <c r="A209" t="s">
        <v>455</v>
      </c>
      <c r="B209" s="2">
        <v>45167</v>
      </c>
      <c r="C209">
        <v>2023</v>
      </c>
      <c r="D209" t="s">
        <v>369</v>
      </c>
      <c r="E209" t="s">
        <v>409</v>
      </c>
      <c r="F209" t="s">
        <v>65</v>
      </c>
      <c r="G209" t="s">
        <v>76</v>
      </c>
      <c r="H209" t="s">
        <v>77</v>
      </c>
      <c r="I209" t="s">
        <v>78</v>
      </c>
      <c r="J209" t="s">
        <v>456</v>
      </c>
      <c r="K209" t="s">
        <v>47</v>
      </c>
      <c r="L209" t="s">
        <v>114</v>
      </c>
      <c r="M209" t="s">
        <v>115</v>
      </c>
      <c r="N209" t="s">
        <v>57</v>
      </c>
      <c r="O209" s="3">
        <v>18.829999999999998</v>
      </c>
      <c r="P209">
        <v>2</v>
      </c>
      <c r="Q209" s="4">
        <v>0.05</v>
      </c>
      <c r="R209" s="3">
        <v>35.776999999999994</v>
      </c>
      <c r="S209" s="3">
        <v>7.21</v>
      </c>
      <c r="T209" s="3">
        <v>14.42</v>
      </c>
      <c r="U209" s="3">
        <v>21.356999999999992</v>
      </c>
      <c r="V209" s="5">
        <v>0.59694775973390712</v>
      </c>
      <c r="W209">
        <v>7</v>
      </c>
      <c r="X209" t="s">
        <v>37</v>
      </c>
      <c r="Y209" s="6">
        <v>4</v>
      </c>
    </row>
    <row r="210" spans="1:25">
      <c r="A210" t="s">
        <v>457</v>
      </c>
      <c r="B210" s="2">
        <v>45170</v>
      </c>
      <c r="C210">
        <v>2023</v>
      </c>
      <c r="D210" t="s">
        <v>369</v>
      </c>
      <c r="E210" t="s">
        <v>458</v>
      </c>
      <c r="F210" t="s">
        <v>51</v>
      </c>
      <c r="G210" t="s">
        <v>97</v>
      </c>
      <c r="H210" t="s">
        <v>98</v>
      </c>
      <c r="I210" t="s">
        <v>42</v>
      </c>
      <c r="J210" t="s">
        <v>428</v>
      </c>
      <c r="K210" t="s">
        <v>61</v>
      </c>
      <c r="L210" t="s">
        <v>84</v>
      </c>
      <c r="M210" t="s">
        <v>135</v>
      </c>
      <c r="N210" t="s">
        <v>36</v>
      </c>
      <c r="O210" s="3">
        <v>891.09</v>
      </c>
      <c r="P210">
        <v>4</v>
      </c>
      <c r="Q210" s="4">
        <v>0.15</v>
      </c>
      <c r="R210" s="3">
        <v>3029.7060000000001</v>
      </c>
      <c r="S210" s="3">
        <v>585.55999999999995</v>
      </c>
      <c r="T210" s="3">
        <v>2342.2399999999998</v>
      </c>
      <c r="U210" s="3">
        <v>687.46600000000035</v>
      </c>
      <c r="V210" s="5">
        <v>0.22690848550981524</v>
      </c>
      <c r="W210">
        <v>9</v>
      </c>
      <c r="X210" t="s">
        <v>37</v>
      </c>
      <c r="Y210" s="6">
        <v>3</v>
      </c>
    </row>
    <row r="211" spans="1:25">
      <c r="A211" t="s">
        <v>459</v>
      </c>
      <c r="B211" s="2">
        <v>45170</v>
      </c>
      <c r="C211">
        <v>2023</v>
      </c>
      <c r="D211" t="s">
        <v>369</v>
      </c>
      <c r="E211" t="s">
        <v>458</v>
      </c>
      <c r="F211" t="s">
        <v>51</v>
      </c>
      <c r="G211" t="s">
        <v>97</v>
      </c>
      <c r="H211" t="s">
        <v>98</v>
      </c>
      <c r="I211" t="s">
        <v>71</v>
      </c>
      <c r="J211" t="s">
        <v>460</v>
      </c>
      <c r="K211" t="s">
        <v>61</v>
      </c>
      <c r="L211" t="s">
        <v>62</v>
      </c>
      <c r="M211" t="s">
        <v>195</v>
      </c>
      <c r="N211" t="s">
        <v>36</v>
      </c>
      <c r="O211" s="3">
        <v>76.03</v>
      </c>
      <c r="P211">
        <v>3</v>
      </c>
      <c r="Q211" s="4">
        <v>0.05</v>
      </c>
      <c r="R211" s="3">
        <v>216.68549999999999</v>
      </c>
      <c r="S211" s="3">
        <v>31.7</v>
      </c>
      <c r="T211" s="3">
        <v>95.1</v>
      </c>
      <c r="U211" s="3">
        <v>121.5855</v>
      </c>
      <c r="V211" s="5">
        <v>0.56111507230525348</v>
      </c>
      <c r="W211">
        <v>5</v>
      </c>
      <c r="X211" t="s">
        <v>37</v>
      </c>
      <c r="Y211" s="6">
        <v>5</v>
      </c>
    </row>
    <row r="212" spans="1:25">
      <c r="A212" t="s">
        <v>461</v>
      </c>
      <c r="B212" s="2">
        <v>45173</v>
      </c>
      <c r="C212">
        <v>2023</v>
      </c>
      <c r="D212" t="s">
        <v>369</v>
      </c>
      <c r="E212" t="s">
        <v>458</v>
      </c>
      <c r="F212" t="s">
        <v>39</v>
      </c>
      <c r="G212" t="s">
        <v>111</v>
      </c>
      <c r="H212" t="s">
        <v>112</v>
      </c>
      <c r="I212" t="s">
        <v>42</v>
      </c>
      <c r="J212" t="s">
        <v>462</v>
      </c>
      <c r="K212" t="s">
        <v>61</v>
      </c>
      <c r="L212" t="s">
        <v>80</v>
      </c>
      <c r="M212" t="s">
        <v>187</v>
      </c>
      <c r="N212" t="s">
        <v>57</v>
      </c>
      <c r="O212" s="3">
        <v>1293.1400000000001</v>
      </c>
      <c r="P212">
        <v>5</v>
      </c>
      <c r="Q212" s="4">
        <v>0.2</v>
      </c>
      <c r="R212" s="3">
        <v>5172.5600000000013</v>
      </c>
      <c r="S212" s="3">
        <v>863.76</v>
      </c>
      <c r="T212" s="3">
        <v>4318.8</v>
      </c>
      <c r="U212" s="3">
        <v>853.76000000000113</v>
      </c>
      <c r="V212" s="5">
        <v>0.16505560109500922</v>
      </c>
      <c r="W212">
        <v>5</v>
      </c>
      <c r="X212" t="s">
        <v>37</v>
      </c>
      <c r="Y212" s="6">
        <v>5</v>
      </c>
    </row>
    <row r="213" spans="1:25">
      <c r="A213" t="s">
        <v>463</v>
      </c>
      <c r="B213" s="2">
        <v>45174</v>
      </c>
      <c r="C213">
        <v>2023</v>
      </c>
      <c r="D213" t="s">
        <v>369</v>
      </c>
      <c r="E213" t="s">
        <v>458</v>
      </c>
      <c r="F213" t="s">
        <v>65</v>
      </c>
      <c r="G213" t="s">
        <v>66</v>
      </c>
      <c r="H213" t="s">
        <v>67</v>
      </c>
      <c r="I213" t="s">
        <v>78</v>
      </c>
      <c r="J213" t="s">
        <v>464</v>
      </c>
      <c r="K213" t="s">
        <v>61</v>
      </c>
      <c r="L213" t="s">
        <v>62</v>
      </c>
      <c r="M213" t="s">
        <v>63</v>
      </c>
      <c r="N213" t="s">
        <v>57</v>
      </c>
      <c r="O213" s="3">
        <v>85.93</v>
      </c>
      <c r="P213">
        <v>4</v>
      </c>
      <c r="Q213" s="4">
        <v>0.2</v>
      </c>
      <c r="R213" s="3">
        <v>274.97600000000006</v>
      </c>
      <c r="S213" s="3">
        <v>43.97</v>
      </c>
      <c r="T213" s="3">
        <v>175.88</v>
      </c>
      <c r="U213" s="3">
        <v>99.09600000000006</v>
      </c>
      <c r="V213" s="5">
        <v>0.36038054230187377</v>
      </c>
      <c r="W213">
        <v>4</v>
      </c>
      <c r="X213" t="s">
        <v>58</v>
      </c>
      <c r="Y213" s="6">
        <v>3</v>
      </c>
    </row>
    <row r="214" spans="1:25">
      <c r="A214" t="s">
        <v>465</v>
      </c>
      <c r="B214" s="2">
        <v>45175</v>
      </c>
      <c r="C214">
        <v>2023</v>
      </c>
      <c r="D214" t="s">
        <v>369</v>
      </c>
      <c r="E214" t="s">
        <v>458</v>
      </c>
      <c r="F214" t="s">
        <v>28</v>
      </c>
      <c r="G214" t="s">
        <v>29</v>
      </c>
      <c r="H214" t="s">
        <v>106</v>
      </c>
      <c r="I214" t="s">
        <v>71</v>
      </c>
      <c r="J214" t="s">
        <v>466</v>
      </c>
      <c r="K214" t="s">
        <v>47</v>
      </c>
      <c r="L214" t="s">
        <v>114</v>
      </c>
      <c r="M214" t="s">
        <v>120</v>
      </c>
      <c r="N214" t="s">
        <v>36</v>
      </c>
      <c r="O214" s="3">
        <v>26.6</v>
      </c>
      <c r="P214">
        <v>8</v>
      </c>
      <c r="Q214" s="4">
        <v>0</v>
      </c>
      <c r="R214" s="3">
        <v>212.8</v>
      </c>
      <c r="S214" s="3">
        <v>11.02</v>
      </c>
      <c r="T214" s="3">
        <v>88.16</v>
      </c>
      <c r="U214" s="3">
        <v>124.64000000000001</v>
      </c>
      <c r="V214" s="5">
        <v>0.58571428571428574</v>
      </c>
      <c r="W214">
        <v>3</v>
      </c>
      <c r="X214" t="s">
        <v>37</v>
      </c>
      <c r="Y214" s="6">
        <v>4</v>
      </c>
    </row>
    <row r="215" spans="1:25">
      <c r="A215" t="s">
        <v>467</v>
      </c>
      <c r="B215" s="2">
        <v>45176</v>
      </c>
      <c r="C215">
        <v>2023</v>
      </c>
      <c r="D215" t="s">
        <v>369</v>
      </c>
      <c r="E215" t="s">
        <v>458</v>
      </c>
      <c r="F215" t="s">
        <v>51</v>
      </c>
      <c r="G215" t="s">
        <v>97</v>
      </c>
      <c r="H215" t="s">
        <v>98</v>
      </c>
      <c r="I215" t="s">
        <v>71</v>
      </c>
      <c r="J215" t="s">
        <v>233</v>
      </c>
      <c r="K215" t="s">
        <v>47</v>
      </c>
      <c r="L215" t="s">
        <v>114</v>
      </c>
      <c r="M215" t="s">
        <v>115</v>
      </c>
      <c r="N215" t="s">
        <v>36</v>
      </c>
      <c r="O215" s="3">
        <v>18.5</v>
      </c>
      <c r="P215">
        <v>8</v>
      </c>
      <c r="Q215" s="4">
        <v>0</v>
      </c>
      <c r="R215" s="3">
        <v>148</v>
      </c>
      <c r="S215" s="3">
        <v>6.94</v>
      </c>
      <c r="T215" s="3">
        <v>55.52</v>
      </c>
      <c r="U215" s="3">
        <v>92.47999999999999</v>
      </c>
      <c r="V215" s="5">
        <v>0.62486486486486481</v>
      </c>
      <c r="W215">
        <v>5</v>
      </c>
      <c r="X215" t="s">
        <v>58</v>
      </c>
      <c r="Y215" s="6">
        <v>3</v>
      </c>
    </row>
    <row r="216" spans="1:25">
      <c r="A216" t="s">
        <v>468</v>
      </c>
      <c r="B216" s="2">
        <v>45177</v>
      </c>
      <c r="C216">
        <v>2023</v>
      </c>
      <c r="D216" t="s">
        <v>369</v>
      </c>
      <c r="E216" t="s">
        <v>458</v>
      </c>
      <c r="F216" t="s">
        <v>39</v>
      </c>
      <c r="G216" t="s">
        <v>40</v>
      </c>
      <c r="H216" t="s">
        <v>41</v>
      </c>
      <c r="I216" t="s">
        <v>42</v>
      </c>
      <c r="J216" t="s">
        <v>258</v>
      </c>
      <c r="K216" t="s">
        <v>33</v>
      </c>
      <c r="L216" t="s">
        <v>34</v>
      </c>
      <c r="M216" t="s">
        <v>150</v>
      </c>
      <c r="N216" t="s">
        <v>44</v>
      </c>
      <c r="O216" s="3">
        <v>442.94</v>
      </c>
      <c r="P216">
        <v>3</v>
      </c>
      <c r="Q216" s="4">
        <v>0.2</v>
      </c>
      <c r="R216" s="3">
        <v>1063.056</v>
      </c>
      <c r="S216" s="3">
        <v>248.62</v>
      </c>
      <c r="T216" s="3">
        <v>745.86</v>
      </c>
      <c r="U216" s="3">
        <v>317.19600000000003</v>
      </c>
      <c r="V216" s="5">
        <v>0.29838127060098435</v>
      </c>
      <c r="W216">
        <v>1</v>
      </c>
      <c r="X216" t="s">
        <v>37</v>
      </c>
      <c r="Y216" s="6">
        <v>5</v>
      </c>
    </row>
    <row r="217" spans="1:25">
      <c r="A217" t="s">
        <v>469</v>
      </c>
      <c r="B217" s="2">
        <v>45186</v>
      </c>
      <c r="C217">
        <v>2023</v>
      </c>
      <c r="D217" t="s">
        <v>369</v>
      </c>
      <c r="E217" t="s">
        <v>458</v>
      </c>
      <c r="F217" t="s">
        <v>51</v>
      </c>
      <c r="G217" t="s">
        <v>97</v>
      </c>
      <c r="H217" t="s">
        <v>98</v>
      </c>
      <c r="I217" t="s">
        <v>71</v>
      </c>
      <c r="J217" t="s">
        <v>117</v>
      </c>
      <c r="K217" t="s">
        <v>47</v>
      </c>
      <c r="L217" t="s">
        <v>55</v>
      </c>
      <c r="M217" t="s">
        <v>69</v>
      </c>
      <c r="N217" t="s">
        <v>36</v>
      </c>
      <c r="O217" s="3">
        <v>42.92</v>
      </c>
      <c r="P217">
        <v>11</v>
      </c>
      <c r="Q217" s="4">
        <v>0</v>
      </c>
      <c r="R217" s="3">
        <v>472.12</v>
      </c>
      <c r="S217" s="3">
        <v>21.4</v>
      </c>
      <c r="T217" s="3">
        <v>235.39999999999998</v>
      </c>
      <c r="U217" s="3">
        <v>236.72000000000003</v>
      </c>
      <c r="V217" s="5">
        <v>0.50139794967381179</v>
      </c>
      <c r="W217">
        <v>9</v>
      </c>
      <c r="X217" t="s">
        <v>37</v>
      </c>
      <c r="Y217" s="6">
        <v>3</v>
      </c>
    </row>
    <row r="218" spans="1:25">
      <c r="A218" t="s">
        <v>470</v>
      </c>
      <c r="B218" s="2">
        <v>45186</v>
      </c>
      <c r="C218">
        <v>2023</v>
      </c>
      <c r="D218" t="s">
        <v>369</v>
      </c>
      <c r="E218" t="s">
        <v>458</v>
      </c>
      <c r="F218" t="s">
        <v>28</v>
      </c>
      <c r="G218" t="s">
        <v>29</v>
      </c>
      <c r="H218" t="s">
        <v>60</v>
      </c>
      <c r="I218" t="s">
        <v>71</v>
      </c>
      <c r="J218" t="s">
        <v>231</v>
      </c>
      <c r="K218" t="s">
        <v>47</v>
      </c>
      <c r="L218" t="s">
        <v>48</v>
      </c>
      <c r="M218" t="s">
        <v>104</v>
      </c>
      <c r="N218" t="s">
        <v>44</v>
      </c>
      <c r="O218" s="3">
        <v>54.54</v>
      </c>
      <c r="P218">
        <v>8</v>
      </c>
      <c r="Q218" s="4">
        <v>0.1</v>
      </c>
      <c r="R218" s="3">
        <v>392.68799999999999</v>
      </c>
      <c r="S218" s="3">
        <v>30.76</v>
      </c>
      <c r="T218" s="3">
        <v>246.08</v>
      </c>
      <c r="U218" s="3">
        <v>146.60799999999998</v>
      </c>
      <c r="V218" s="5">
        <v>0.3733447418815955</v>
      </c>
      <c r="W218">
        <v>5</v>
      </c>
      <c r="X218" t="s">
        <v>37</v>
      </c>
      <c r="Y218" s="6">
        <v>4</v>
      </c>
    </row>
    <row r="219" spans="1:25">
      <c r="A219" t="s">
        <v>471</v>
      </c>
      <c r="B219" s="2">
        <v>45187</v>
      </c>
      <c r="C219">
        <v>2023</v>
      </c>
      <c r="D219" t="s">
        <v>369</v>
      </c>
      <c r="E219" t="s">
        <v>458</v>
      </c>
      <c r="F219" t="s">
        <v>51</v>
      </c>
      <c r="G219" t="s">
        <v>52</v>
      </c>
      <c r="H219" t="s">
        <v>102</v>
      </c>
      <c r="I219" t="s">
        <v>78</v>
      </c>
      <c r="J219" t="s">
        <v>472</v>
      </c>
      <c r="K219" t="s">
        <v>33</v>
      </c>
      <c r="L219" t="s">
        <v>34</v>
      </c>
      <c r="M219" t="s">
        <v>35</v>
      </c>
      <c r="N219" t="s">
        <v>57</v>
      </c>
      <c r="O219" s="3">
        <v>175.64</v>
      </c>
      <c r="P219">
        <v>5</v>
      </c>
      <c r="Q219" s="4">
        <v>0</v>
      </c>
      <c r="R219" s="3">
        <v>878.19999999999993</v>
      </c>
      <c r="S219" s="3">
        <v>91.1</v>
      </c>
      <c r="T219" s="3">
        <v>455.5</v>
      </c>
      <c r="U219" s="3">
        <v>422.69999999999993</v>
      </c>
      <c r="V219" s="5">
        <v>0.48132543839672054</v>
      </c>
      <c r="W219">
        <v>5</v>
      </c>
      <c r="X219" t="s">
        <v>37</v>
      </c>
      <c r="Y219" s="6">
        <v>4</v>
      </c>
    </row>
    <row r="220" spans="1:25">
      <c r="A220" t="s">
        <v>473</v>
      </c>
      <c r="B220" s="2">
        <v>45187</v>
      </c>
      <c r="C220">
        <v>2023</v>
      </c>
      <c r="D220" t="s">
        <v>369</v>
      </c>
      <c r="E220" t="s">
        <v>458</v>
      </c>
      <c r="F220" t="s">
        <v>65</v>
      </c>
      <c r="G220" t="s">
        <v>66</v>
      </c>
      <c r="H220" t="s">
        <v>67</v>
      </c>
      <c r="I220" t="s">
        <v>31</v>
      </c>
      <c r="J220" t="s">
        <v>474</v>
      </c>
      <c r="K220" t="s">
        <v>61</v>
      </c>
      <c r="L220" t="s">
        <v>62</v>
      </c>
      <c r="M220" t="s">
        <v>63</v>
      </c>
      <c r="N220" t="s">
        <v>57</v>
      </c>
      <c r="O220" s="3">
        <v>91.11</v>
      </c>
      <c r="P220">
        <v>4</v>
      </c>
      <c r="Q220" s="4">
        <v>0.05</v>
      </c>
      <c r="R220" s="3">
        <v>346.21799999999996</v>
      </c>
      <c r="S220" s="3">
        <v>43.59</v>
      </c>
      <c r="T220" s="3">
        <v>174.36</v>
      </c>
      <c r="U220" s="3">
        <v>171.85799999999995</v>
      </c>
      <c r="V220" s="5">
        <v>0.49638666967055428</v>
      </c>
      <c r="W220">
        <v>6</v>
      </c>
      <c r="X220" t="s">
        <v>37</v>
      </c>
      <c r="Y220" s="6">
        <v>4</v>
      </c>
    </row>
    <row r="221" spans="1:25">
      <c r="A221" t="s">
        <v>475</v>
      </c>
      <c r="B221" s="2">
        <v>45188</v>
      </c>
      <c r="C221">
        <v>2023</v>
      </c>
      <c r="D221" t="s">
        <v>369</v>
      </c>
      <c r="E221" t="s">
        <v>458</v>
      </c>
      <c r="F221" t="s">
        <v>51</v>
      </c>
      <c r="G221" t="s">
        <v>52</v>
      </c>
      <c r="H221" t="s">
        <v>53</v>
      </c>
      <c r="I221" t="s">
        <v>42</v>
      </c>
      <c r="J221" t="s">
        <v>79</v>
      </c>
      <c r="K221" t="s">
        <v>61</v>
      </c>
      <c r="L221" t="s">
        <v>62</v>
      </c>
      <c r="M221" t="s">
        <v>195</v>
      </c>
      <c r="N221" t="s">
        <v>57</v>
      </c>
      <c r="O221" s="3">
        <v>72</v>
      </c>
      <c r="P221">
        <v>4</v>
      </c>
      <c r="Q221" s="4">
        <v>0.1</v>
      </c>
      <c r="R221" s="3">
        <v>259.2</v>
      </c>
      <c r="S221" s="3">
        <v>31.15</v>
      </c>
      <c r="T221" s="3">
        <v>124.6</v>
      </c>
      <c r="U221" s="3">
        <v>134.6</v>
      </c>
      <c r="V221" s="5">
        <v>0.51929012345679015</v>
      </c>
      <c r="W221">
        <v>7</v>
      </c>
      <c r="X221" t="s">
        <v>58</v>
      </c>
      <c r="Y221" s="6">
        <v>3</v>
      </c>
    </row>
    <row r="222" spans="1:25">
      <c r="A222" t="s">
        <v>476</v>
      </c>
      <c r="B222" s="2">
        <v>45189</v>
      </c>
      <c r="C222">
        <v>2023</v>
      </c>
      <c r="D222" t="s">
        <v>369</v>
      </c>
      <c r="E222" t="s">
        <v>458</v>
      </c>
      <c r="F222" t="s">
        <v>65</v>
      </c>
      <c r="G222" t="s">
        <v>76</v>
      </c>
      <c r="H222" t="s">
        <v>77</v>
      </c>
      <c r="I222" t="s">
        <v>71</v>
      </c>
      <c r="J222" t="s">
        <v>477</v>
      </c>
      <c r="K222" t="s">
        <v>33</v>
      </c>
      <c r="L222" t="s">
        <v>34</v>
      </c>
      <c r="M222" t="s">
        <v>35</v>
      </c>
      <c r="N222" t="s">
        <v>44</v>
      </c>
      <c r="O222" s="3">
        <v>173.46</v>
      </c>
      <c r="P222">
        <v>3</v>
      </c>
      <c r="Q222" s="4">
        <v>0.2</v>
      </c>
      <c r="R222" s="3">
        <v>416.30400000000003</v>
      </c>
      <c r="S222" s="3">
        <v>94.59</v>
      </c>
      <c r="T222" s="3">
        <v>283.77</v>
      </c>
      <c r="U222" s="3">
        <v>132.53400000000005</v>
      </c>
      <c r="V222" s="5">
        <v>0.31835869941196826</v>
      </c>
      <c r="W222">
        <v>3</v>
      </c>
      <c r="X222" t="s">
        <v>37</v>
      </c>
      <c r="Y222" s="6">
        <v>5</v>
      </c>
    </row>
    <row r="223" spans="1:25">
      <c r="A223" t="s">
        <v>478</v>
      </c>
      <c r="B223" s="2">
        <v>45189</v>
      </c>
      <c r="C223">
        <v>2023</v>
      </c>
      <c r="D223" t="s">
        <v>369</v>
      </c>
      <c r="E223" t="s">
        <v>458</v>
      </c>
      <c r="F223" t="s">
        <v>28</v>
      </c>
      <c r="G223" t="s">
        <v>29</v>
      </c>
      <c r="H223" t="s">
        <v>60</v>
      </c>
      <c r="I223" t="s">
        <v>78</v>
      </c>
      <c r="J223" t="s">
        <v>161</v>
      </c>
      <c r="K223" t="s">
        <v>47</v>
      </c>
      <c r="L223" t="s">
        <v>48</v>
      </c>
      <c r="M223" t="s">
        <v>104</v>
      </c>
      <c r="N223" t="s">
        <v>36</v>
      </c>
      <c r="O223" s="3">
        <v>56.23</v>
      </c>
      <c r="P223">
        <v>12</v>
      </c>
      <c r="Q223" s="4">
        <v>0</v>
      </c>
      <c r="R223" s="3">
        <v>674.76</v>
      </c>
      <c r="S223" s="3">
        <v>30.79</v>
      </c>
      <c r="T223" s="3">
        <v>369.48</v>
      </c>
      <c r="U223" s="3">
        <v>305.27999999999997</v>
      </c>
      <c r="V223" s="5">
        <v>0.45242752978836914</v>
      </c>
      <c r="W223">
        <v>7</v>
      </c>
      <c r="X223" t="s">
        <v>37</v>
      </c>
      <c r="Y223" s="6">
        <v>4</v>
      </c>
    </row>
    <row r="224" spans="1:25">
      <c r="A224" t="s">
        <v>479</v>
      </c>
      <c r="B224" s="2">
        <v>45190</v>
      </c>
      <c r="C224">
        <v>2023</v>
      </c>
      <c r="D224" t="s">
        <v>369</v>
      </c>
      <c r="E224" t="s">
        <v>458</v>
      </c>
      <c r="F224" t="s">
        <v>39</v>
      </c>
      <c r="G224" t="s">
        <v>91</v>
      </c>
      <c r="H224" t="s">
        <v>92</v>
      </c>
      <c r="I224" t="s">
        <v>78</v>
      </c>
      <c r="J224" t="s">
        <v>205</v>
      </c>
      <c r="K224" t="s">
        <v>33</v>
      </c>
      <c r="L224" t="s">
        <v>34</v>
      </c>
      <c r="M224" t="s">
        <v>35</v>
      </c>
      <c r="N224" t="s">
        <v>36</v>
      </c>
      <c r="O224" s="3">
        <v>171.89</v>
      </c>
      <c r="P224">
        <v>3</v>
      </c>
      <c r="Q224" s="4">
        <v>0.2</v>
      </c>
      <c r="R224" s="3">
        <v>412.536</v>
      </c>
      <c r="S224" s="3">
        <v>91.63</v>
      </c>
      <c r="T224" s="3">
        <v>274.89</v>
      </c>
      <c r="U224" s="3">
        <v>137.64600000000002</v>
      </c>
      <c r="V224" s="5">
        <v>0.33365815347024264</v>
      </c>
      <c r="W224">
        <v>6</v>
      </c>
      <c r="X224" t="s">
        <v>37</v>
      </c>
      <c r="Y224" s="6">
        <v>4</v>
      </c>
    </row>
    <row r="225" spans="1:25">
      <c r="A225" t="s">
        <v>480</v>
      </c>
      <c r="B225" s="2">
        <v>45190</v>
      </c>
      <c r="C225">
        <v>2023</v>
      </c>
      <c r="D225" t="s">
        <v>369</v>
      </c>
      <c r="E225" t="s">
        <v>458</v>
      </c>
      <c r="F225" t="s">
        <v>39</v>
      </c>
      <c r="G225" t="s">
        <v>111</v>
      </c>
      <c r="H225" t="s">
        <v>112</v>
      </c>
      <c r="I225" t="s">
        <v>71</v>
      </c>
      <c r="J225" t="s">
        <v>481</v>
      </c>
      <c r="K225" t="s">
        <v>47</v>
      </c>
      <c r="L225" t="s">
        <v>55</v>
      </c>
      <c r="M225" t="s">
        <v>69</v>
      </c>
      <c r="N225" t="s">
        <v>57</v>
      </c>
      <c r="O225" s="3">
        <v>45.07</v>
      </c>
      <c r="P225">
        <v>8</v>
      </c>
      <c r="Q225" s="4">
        <v>0</v>
      </c>
      <c r="R225" s="3">
        <v>360.56</v>
      </c>
      <c r="S225" s="3">
        <v>22.53</v>
      </c>
      <c r="T225" s="3">
        <v>180.24</v>
      </c>
      <c r="U225" s="3">
        <v>180.32</v>
      </c>
      <c r="V225" s="5">
        <v>0.50011093854004884</v>
      </c>
      <c r="W225">
        <v>2</v>
      </c>
      <c r="X225" t="s">
        <v>37</v>
      </c>
      <c r="Y225" s="6">
        <v>4</v>
      </c>
    </row>
    <row r="226" spans="1:25">
      <c r="A226" t="s">
        <v>482</v>
      </c>
      <c r="B226" s="2">
        <v>45192</v>
      </c>
      <c r="C226">
        <v>2023</v>
      </c>
      <c r="D226" t="s">
        <v>369</v>
      </c>
      <c r="E226" t="s">
        <v>458</v>
      </c>
      <c r="F226" t="s">
        <v>51</v>
      </c>
      <c r="G226" t="s">
        <v>97</v>
      </c>
      <c r="H226" t="s">
        <v>98</v>
      </c>
      <c r="I226" t="s">
        <v>31</v>
      </c>
      <c r="J226" t="s">
        <v>483</v>
      </c>
      <c r="K226" t="s">
        <v>47</v>
      </c>
      <c r="L226" t="s">
        <v>48</v>
      </c>
      <c r="M226" t="s">
        <v>104</v>
      </c>
      <c r="N226" t="s">
        <v>57</v>
      </c>
      <c r="O226" s="3">
        <v>56.55</v>
      </c>
      <c r="P226">
        <v>1</v>
      </c>
      <c r="Q226" s="4">
        <v>0</v>
      </c>
      <c r="R226" s="3">
        <v>56.55</v>
      </c>
      <c r="S226" s="3">
        <v>30.52</v>
      </c>
      <c r="T226" s="3">
        <v>30.52</v>
      </c>
      <c r="U226" s="3">
        <v>26.029999999999998</v>
      </c>
      <c r="V226" s="5">
        <v>0.46030061892130858</v>
      </c>
      <c r="W226">
        <v>6</v>
      </c>
      <c r="X226" t="s">
        <v>58</v>
      </c>
      <c r="Y226" s="6">
        <v>3</v>
      </c>
    </row>
    <row r="227" spans="1:25">
      <c r="A227" t="s">
        <v>484</v>
      </c>
      <c r="B227" s="2">
        <v>45195</v>
      </c>
      <c r="C227">
        <v>2023</v>
      </c>
      <c r="D227" t="s">
        <v>369</v>
      </c>
      <c r="E227" t="s">
        <v>458</v>
      </c>
      <c r="F227" t="s">
        <v>39</v>
      </c>
      <c r="G227" t="s">
        <v>91</v>
      </c>
      <c r="H227" t="s">
        <v>92</v>
      </c>
      <c r="I227" t="s">
        <v>31</v>
      </c>
      <c r="J227" t="s">
        <v>290</v>
      </c>
      <c r="K227" t="s">
        <v>33</v>
      </c>
      <c r="L227" t="s">
        <v>73</v>
      </c>
      <c r="M227" t="s">
        <v>138</v>
      </c>
      <c r="N227" t="s">
        <v>44</v>
      </c>
      <c r="O227" s="3">
        <v>335.37</v>
      </c>
      <c r="P227">
        <v>3</v>
      </c>
      <c r="Q227" s="4">
        <v>0.2</v>
      </c>
      <c r="R227" s="3">
        <v>804.88800000000003</v>
      </c>
      <c r="S227" s="3">
        <v>176.79</v>
      </c>
      <c r="T227" s="3">
        <v>530.37</v>
      </c>
      <c r="U227" s="3">
        <v>274.51800000000003</v>
      </c>
      <c r="V227" s="5">
        <v>0.3410636013954737</v>
      </c>
      <c r="W227">
        <v>1</v>
      </c>
      <c r="X227" t="s">
        <v>37</v>
      </c>
      <c r="Y227" s="6">
        <v>5</v>
      </c>
    </row>
    <row r="228" spans="1:25">
      <c r="A228" t="s">
        <v>485</v>
      </c>
      <c r="B228" s="2">
        <v>45197</v>
      </c>
      <c r="C228">
        <v>2023</v>
      </c>
      <c r="D228" t="s">
        <v>369</v>
      </c>
      <c r="E228" t="s">
        <v>458</v>
      </c>
      <c r="F228" t="s">
        <v>65</v>
      </c>
      <c r="G228" t="s">
        <v>76</v>
      </c>
      <c r="H228" t="s">
        <v>77</v>
      </c>
      <c r="I228" t="s">
        <v>42</v>
      </c>
      <c r="J228" t="s">
        <v>486</v>
      </c>
      <c r="K228" t="s">
        <v>47</v>
      </c>
      <c r="L228" t="s">
        <v>48</v>
      </c>
      <c r="M228" t="s">
        <v>49</v>
      </c>
      <c r="N228" t="s">
        <v>57</v>
      </c>
      <c r="O228" s="3">
        <v>32.57</v>
      </c>
      <c r="P228">
        <v>3</v>
      </c>
      <c r="Q228" s="4">
        <v>0.05</v>
      </c>
      <c r="R228" s="3">
        <v>92.8245</v>
      </c>
      <c r="S228" s="3">
        <v>14.23</v>
      </c>
      <c r="T228" s="3">
        <v>42.69</v>
      </c>
      <c r="U228" s="3">
        <v>50.134500000000003</v>
      </c>
      <c r="V228" s="5">
        <v>0.54009986587592718</v>
      </c>
      <c r="W228">
        <v>3</v>
      </c>
      <c r="X228" t="s">
        <v>37</v>
      </c>
      <c r="Y228" s="6">
        <v>5</v>
      </c>
    </row>
    <row r="229" spans="1:25">
      <c r="A229" t="s">
        <v>487</v>
      </c>
      <c r="B229" s="2">
        <v>45200</v>
      </c>
      <c r="C229">
        <v>2023</v>
      </c>
      <c r="D229" t="s">
        <v>488</v>
      </c>
      <c r="E229" t="s">
        <v>489</v>
      </c>
      <c r="F229" t="s">
        <v>39</v>
      </c>
      <c r="G229" t="s">
        <v>40</v>
      </c>
      <c r="H229" t="s">
        <v>41</v>
      </c>
      <c r="I229" t="s">
        <v>42</v>
      </c>
      <c r="J229" t="s">
        <v>72</v>
      </c>
      <c r="K229" t="s">
        <v>61</v>
      </c>
      <c r="L229" t="s">
        <v>62</v>
      </c>
      <c r="M229" t="s">
        <v>195</v>
      </c>
      <c r="N229" t="s">
        <v>57</v>
      </c>
      <c r="O229" s="3">
        <v>75.680000000000007</v>
      </c>
      <c r="P229">
        <v>4</v>
      </c>
      <c r="Q229" s="4">
        <v>0.2</v>
      </c>
      <c r="R229" s="3">
        <v>242.17600000000004</v>
      </c>
      <c r="S229" s="3">
        <v>32.619999999999997</v>
      </c>
      <c r="T229" s="3">
        <v>130.47999999999999</v>
      </c>
      <c r="U229" s="3">
        <v>111.69600000000005</v>
      </c>
      <c r="V229" s="5">
        <v>0.46121828752642718</v>
      </c>
      <c r="W229">
        <v>6</v>
      </c>
      <c r="X229" t="s">
        <v>37</v>
      </c>
      <c r="Y229" s="6">
        <v>4</v>
      </c>
    </row>
    <row r="230" spans="1:25">
      <c r="A230" t="s">
        <v>490</v>
      </c>
      <c r="B230" s="2">
        <v>45200</v>
      </c>
      <c r="C230">
        <v>2023</v>
      </c>
      <c r="D230" t="s">
        <v>488</v>
      </c>
      <c r="E230" t="s">
        <v>489</v>
      </c>
      <c r="F230" t="s">
        <v>39</v>
      </c>
      <c r="G230" t="s">
        <v>111</v>
      </c>
      <c r="H230" t="s">
        <v>112</v>
      </c>
      <c r="I230" t="s">
        <v>78</v>
      </c>
      <c r="J230" t="s">
        <v>72</v>
      </c>
      <c r="K230" t="s">
        <v>61</v>
      </c>
      <c r="L230" t="s">
        <v>62</v>
      </c>
      <c r="M230" t="s">
        <v>195</v>
      </c>
      <c r="N230" t="s">
        <v>44</v>
      </c>
      <c r="O230" s="3">
        <v>76.150000000000006</v>
      </c>
      <c r="P230">
        <v>1</v>
      </c>
      <c r="Q230" s="4">
        <v>0.05</v>
      </c>
      <c r="R230" s="3">
        <v>72.342500000000001</v>
      </c>
      <c r="S230" s="3">
        <v>31.38</v>
      </c>
      <c r="T230" s="3">
        <v>31.38</v>
      </c>
      <c r="U230" s="3">
        <v>40.962500000000006</v>
      </c>
      <c r="V230" s="5">
        <v>0.56623008604900305</v>
      </c>
      <c r="W230">
        <v>6</v>
      </c>
      <c r="X230" t="s">
        <v>37</v>
      </c>
      <c r="Y230" s="6">
        <v>4</v>
      </c>
    </row>
    <row r="231" spans="1:25">
      <c r="A231" t="s">
        <v>491</v>
      </c>
      <c r="B231" s="2">
        <v>45201</v>
      </c>
      <c r="C231">
        <v>2023</v>
      </c>
      <c r="D231" t="s">
        <v>488</v>
      </c>
      <c r="E231" t="s">
        <v>489</v>
      </c>
      <c r="F231" t="s">
        <v>28</v>
      </c>
      <c r="G231" t="s">
        <v>29</v>
      </c>
      <c r="H231" t="s">
        <v>30</v>
      </c>
      <c r="I231" t="s">
        <v>71</v>
      </c>
      <c r="J231" t="s">
        <v>362</v>
      </c>
      <c r="K231" t="s">
        <v>47</v>
      </c>
      <c r="L231" t="s">
        <v>48</v>
      </c>
      <c r="M231" t="s">
        <v>104</v>
      </c>
      <c r="N231" t="s">
        <v>36</v>
      </c>
      <c r="O231" s="3">
        <v>51.89</v>
      </c>
      <c r="P231">
        <v>1</v>
      </c>
      <c r="Q231" s="4">
        <v>0.2</v>
      </c>
      <c r="R231" s="3">
        <v>41.512</v>
      </c>
      <c r="S231" s="3">
        <v>31.53</v>
      </c>
      <c r="T231" s="3">
        <v>31.53</v>
      </c>
      <c r="U231" s="3">
        <v>9.9819999999999993</v>
      </c>
      <c r="V231" s="5">
        <v>0.24046058970899978</v>
      </c>
      <c r="W231">
        <v>1</v>
      </c>
      <c r="X231" t="s">
        <v>37</v>
      </c>
      <c r="Y231" s="6">
        <v>5</v>
      </c>
    </row>
    <row r="232" spans="1:25">
      <c r="A232" t="s">
        <v>492</v>
      </c>
      <c r="B232" s="2">
        <v>45202</v>
      </c>
      <c r="C232">
        <v>2023</v>
      </c>
      <c r="D232" t="s">
        <v>488</v>
      </c>
      <c r="E232" t="s">
        <v>489</v>
      </c>
      <c r="F232" t="s">
        <v>28</v>
      </c>
      <c r="G232" t="s">
        <v>29</v>
      </c>
      <c r="H232" t="s">
        <v>106</v>
      </c>
      <c r="I232" t="s">
        <v>31</v>
      </c>
      <c r="J232" t="s">
        <v>493</v>
      </c>
      <c r="K232" t="s">
        <v>61</v>
      </c>
      <c r="L232" t="s">
        <v>84</v>
      </c>
      <c r="M232" t="s">
        <v>135</v>
      </c>
      <c r="N232" t="s">
        <v>36</v>
      </c>
      <c r="O232" s="3">
        <v>868.94</v>
      </c>
      <c r="P232">
        <v>4</v>
      </c>
      <c r="Q232" s="4">
        <v>0.1</v>
      </c>
      <c r="R232" s="3">
        <v>3128.1840000000002</v>
      </c>
      <c r="S232" s="3">
        <v>586.42999999999995</v>
      </c>
      <c r="T232" s="3">
        <v>2345.7199999999998</v>
      </c>
      <c r="U232" s="3">
        <v>782.4640000000004</v>
      </c>
      <c r="V232" s="5">
        <v>0.25013362385332844</v>
      </c>
      <c r="W232">
        <v>4</v>
      </c>
      <c r="X232" t="s">
        <v>37</v>
      </c>
      <c r="Y232" s="6">
        <v>5</v>
      </c>
    </row>
    <row r="233" spans="1:25">
      <c r="A233" t="s">
        <v>494</v>
      </c>
      <c r="B233" s="2">
        <v>45202</v>
      </c>
      <c r="C233">
        <v>2023</v>
      </c>
      <c r="D233" t="s">
        <v>488</v>
      </c>
      <c r="E233" t="s">
        <v>489</v>
      </c>
      <c r="F233" t="s">
        <v>28</v>
      </c>
      <c r="G233" t="s">
        <v>29</v>
      </c>
      <c r="H233" t="s">
        <v>30</v>
      </c>
      <c r="I233" t="s">
        <v>78</v>
      </c>
      <c r="J233" t="s">
        <v>495</v>
      </c>
      <c r="K233" t="s">
        <v>47</v>
      </c>
      <c r="L233" t="s">
        <v>114</v>
      </c>
      <c r="M233" t="s">
        <v>120</v>
      </c>
      <c r="N233" t="s">
        <v>57</v>
      </c>
      <c r="O233" s="3">
        <v>25.5</v>
      </c>
      <c r="P233">
        <v>11</v>
      </c>
      <c r="Q233" s="4">
        <v>0.1</v>
      </c>
      <c r="R233" s="3">
        <v>252.45000000000002</v>
      </c>
      <c r="S233" s="3">
        <v>10.72</v>
      </c>
      <c r="T233" s="3">
        <v>117.92</v>
      </c>
      <c r="U233" s="3">
        <v>134.53000000000003</v>
      </c>
      <c r="V233" s="5">
        <v>0.53289760348583881</v>
      </c>
      <c r="W233">
        <v>3</v>
      </c>
      <c r="X233" t="s">
        <v>37</v>
      </c>
      <c r="Y233" s="6">
        <v>4</v>
      </c>
    </row>
    <row r="234" spans="1:25">
      <c r="A234" t="s">
        <v>496</v>
      </c>
      <c r="B234" s="2">
        <v>45203</v>
      </c>
      <c r="C234">
        <v>2023</v>
      </c>
      <c r="D234" t="s">
        <v>488</v>
      </c>
      <c r="E234" t="s">
        <v>489</v>
      </c>
      <c r="F234" t="s">
        <v>51</v>
      </c>
      <c r="G234" t="s">
        <v>52</v>
      </c>
      <c r="H234" t="s">
        <v>53</v>
      </c>
      <c r="I234" t="s">
        <v>78</v>
      </c>
      <c r="J234" t="s">
        <v>192</v>
      </c>
      <c r="K234" t="s">
        <v>47</v>
      </c>
      <c r="L234" t="s">
        <v>55</v>
      </c>
      <c r="M234" t="s">
        <v>56</v>
      </c>
      <c r="N234" t="s">
        <v>36</v>
      </c>
      <c r="O234" s="3">
        <v>37.93</v>
      </c>
      <c r="P234">
        <v>11</v>
      </c>
      <c r="Q234" s="4">
        <v>0.2</v>
      </c>
      <c r="R234" s="3">
        <v>333.78400000000005</v>
      </c>
      <c r="S234" s="3">
        <v>16.66</v>
      </c>
      <c r="T234" s="3">
        <v>183.26</v>
      </c>
      <c r="U234" s="3">
        <v>150.52400000000006</v>
      </c>
      <c r="V234" s="5">
        <v>0.45096229897179024</v>
      </c>
      <c r="W234">
        <v>9</v>
      </c>
      <c r="X234" t="s">
        <v>37</v>
      </c>
      <c r="Y234" s="6">
        <v>4</v>
      </c>
    </row>
    <row r="235" spans="1:25">
      <c r="A235" t="s">
        <v>497</v>
      </c>
      <c r="B235" s="2">
        <v>45204</v>
      </c>
      <c r="C235">
        <v>2023</v>
      </c>
      <c r="D235" t="s">
        <v>488</v>
      </c>
      <c r="E235" t="s">
        <v>489</v>
      </c>
      <c r="F235" t="s">
        <v>65</v>
      </c>
      <c r="G235" t="s">
        <v>76</v>
      </c>
      <c r="H235" t="s">
        <v>77</v>
      </c>
      <c r="I235" t="s">
        <v>42</v>
      </c>
      <c r="J235" t="s">
        <v>454</v>
      </c>
      <c r="K235" t="s">
        <v>61</v>
      </c>
      <c r="L235" t="s">
        <v>80</v>
      </c>
      <c r="M235" t="s">
        <v>187</v>
      </c>
      <c r="N235" t="s">
        <v>36</v>
      </c>
      <c r="O235" s="3">
        <v>1312.29</v>
      </c>
      <c r="P235">
        <v>1</v>
      </c>
      <c r="Q235" s="4">
        <v>0</v>
      </c>
      <c r="R235" s="3">
        <v>1312.29</v>
      </c>
      <c r="S235" s="3">
        <v>869.11</v>
      </c>
      <c r="T235" s="3">
        <v>869.11</v>
      </c>
      <c r="U235" s="3">
        <v>443.17999999999995</v>
      </c>
      <c r="V235" s="5">
        <v>0.33771498677883699</v>
      </c>
      <c r="W235">
        <v>5</v>
      </c>
      <c r="X235" t="s">
        <v>37</v>
      </c>
      <c r="Y235" s="6">
        <v>4</v>
      </c>
    </row>
    <row r="236" spans="1:25">
      <c r="A236" t="s">
        <v>498</v>
      </c>
      <c r="B236" s="2">
        <v>45205</v>
      </c>
      <c r="C236">
        <v>2023</v>
      </c>
      <c r="D236" t="s">
        <v>488</v>
      </c>
      <c r="E236" t="s">
        <v>489</v>
      </c>
      <c r="F236" t="s">
        <v>39</v>
      </c>
      <c r="G236" t="s">
        <v>111</v>
      </c>
      <c r="H236" t="s">
        <v>112</v>
      </c>
      <c r="I236" t="s">
        <v>71</v>
      </c>
      <c r="J236" t="s">
        <v>201</v>
      </c>
      <c r="K236" t="s">
        <v>33</v>
      </c>
      <c r="L236" t="s">
        <v>88</v>
      </c>
      <c r="M236" t="s">
        <v>89</v>
      </c>
      <c r="N236" t="s">
        <v>57</v>
      </c>
      <c r="O236" s="3">
        <v>245.31</v>
      </c>
      <c r="P236">
        <v>2</v>
      </c>
      <c r="Q236" s="4">
        <v>0.05</v>
      </c>
      <c r="R236" s="3">
        <v>466.089</v>
      </c>
      <c r="S236" s="3">
        <v>131.96</v>
      </c>
      <c r="T236" s="3">
        <v>263.92</v>
      </c>
      <c r="U236" s="3">
        <v>202.16899999999998</v>
      </c>
      <c r="V236" s="5">
        <v>0.43375621394197245</v>
      </c>
      <c r="W236">
        <v>1</v>
      </c>
      <c r="X236" t="s">
        <v>37</v>
      </c>
      <c r="Y236" s="6">
        <v>5</v>
      </c>
    </row>
    <row r="237" spans="1:25">
      <c r="A237" t="s">
        <v>499</v>
      </c>
      <c r="B237" s="2">
        <v>45213</v>
      </c>
      <c r="C237">
        <v>2023</v>
      </c>
      <c r="D237" t="s">
        <v>488</v>
      </c>
      <c r="E237" t="s">
        <v>489</v>
      </c>
      <c r="F237" t="s">
        <v>65</v>
      </c>
      <c r="G237" t="s">
        <v>76</v>
      </c>
      <c r="H237" t="s">
        <v>77</v>
      </c>
      <c r="I237" t="s">
        <v>31</v>
      </c>
      <c r="J237" t="s">
        <v>95</v>
      </c>
      <c r="K237" t="s">
        <v>61</v>
      </c>
      <c r="L237" t="s">
        <v>84</v>
      </c>
      <c r="M237" t="s">
        <v>85</v>
      </c>
      <c r="N237" t="s">
        <v>44</v>
      </c>
      <c r="O237" s="3">
        <v>153.29</v>
      </c>
      <c r="P237">
        <v>5</v>
      </c>
      <c r="Q237" s="4">
        <v>0.2</v>
      </c>
      <c r="R237" s="3">
        <v>613.16</v>
      </c>
      <c r="S237" s="3">
        <v>70.7</v>
      </c>
      <c r="T237" s="3">
        <v>353.5</v>
      </c>
      <c r="U237" s="3">
        <v>259.65999999999997</v>
      </c>
      <c r="V237" s="5">
        <v>0.42347837432317825</v>
      </c>
      <c r="W237">
        <v>5</v>
      </c>
      <c r="X237" t="s">
        <v>37</v>
      </c>
      <c r="Y237" s="6">
        <v>4</v>
      </c>
    </row>
    <row r="238" spans="1:25">
      <c r="A238" t="s">
        <v>500</v>
      </c>
      <c r="B238" s="2">
        <v>45213</v>
      </c>
      <c r="C238">
        <v>2023</v>
      </c>
      <c r="D238" t="s">
        <v>488</v>
      </c>
      <c r="E238" t="s">
        <v>489</v>
      </c>
      <c r="F238" t="s">
        <v>39</v>
      </c>
      <c r="G238" t="s">
        <v>111</v>
      </c>
      <c r="H238" t="s">
        <v>112</v>
      </c>
      <c r="I238" t="s">
        <v>78</v>
      </c>
      <c r="J238" t="s">
        <v>227</v>
      </c>
      <c r="K238" t="s">
        <v>47</v>
      </c>
      <c r="L238" t="s">
        <v>48</v>
      </c>
      <c r="M238" t="s">
        <v>49</v>
      </c>
      <c r="N238" t="s">
        <v>36</v>
      </c>
      <c r="O238" s="3">
        <v>30.72</v>
      </c>
      <c r="P238">
        <v>8</v>
      </c>
      <c r="Q238" s="4">
        <v>0.2</v>
      </c>
      <c r="R238" s="3">
        <v>196.608</v>
      </c>
      <c r="S238" s="3">
        <v>13.62</v>
      </c>
      <c r="T238" s="3">
        <v>108.96</v>
      </c>
      <c r="U238" s="3">
        <v>87.64800000000001</v>
      </c>
      <c r="V238" s="5">
        <v>0.44580078125000006</v>
      </c>
      <c r="W238">
        <v>2</v>
      </c>
      <c r="X238" t="s">
        <v>37</v>
      </c>
      <c r="Y238" s="6">
        <v>5</v>
      </c>
    </row>
    <row r="239" spans="1:25">
      <c r="A239" t="s">
        <v>501</v>
      </c>
      <c r="B239" s="2">
        <v>45213</v>
      </c>
      <c r="C239">
        <v>2023</v>
      </c>
      <c r="D239" t="s">
        <v>488</v>
      </c>
      <c r="E239" t="s">
        <v>489</v>
      </c>
      <c r="F239" t="s">
        <v>65</v>
      </c>
      <c r="G239" t="s">
        <v>66</v>
      </c>
      <c r="H239" t="s">
        <v>67</v>
      </c>
      <c r="I239" t="s">
        <v>71</v>
      </c>
      <c r="J239" t="s">
        <v>164</v>
      </c>
      <c r="K239" t="s">
        <v>33</v>
      </c>
      <c r="L239" t="s">
        <v>34</v>
      </c>
      <c r="M239" t="s">
        <v>35</v>
      </c>
      <c r="N239" t="s">
        <v>36</v>
      </c>
      <c r="O239" s="3">
        <v>181.79</v>
      </c>
      <c r="P239">
        <v>3</v>
      </c>
      <c r="Q239" s="4">
        <v>0</v>
      </c>
      <c r="R239" s="3">
        <v>545.37</v>
      </c>
      <c r="S239" s="3">
        <v>91.76</v>
      </c>
      <c r="T239" s="3">
        <v>275.28000000000003</v>
      </c>
      <c r="U239" s="3">
        <v>270.08999999999997</v>
      </c>
      <c r="V239" s="5">
        <v>0.4952417624731833</v>
      </c>
      <c r="W239">
        <v>1</v>
      </c>
      <c r="X239" t="s">
        <v>37</v>
      </c>
      <c r="Y239" s="6">
        <v>5</v>
      </c>
    </row>
    <row r="240" spans="1:25">
      <c r="A240" t="s">
        <v>502</v>
      </c>
      <c r="B240" s="2">
        <v>45214</v>
      </c>
      <c r="C240">
        <v>2023</v>
      </c>
      <c r="D240" t="s">
        <v>488</v>
      </c>
      <c r="E240" t="s">
        <v>489</v>
      </c>
      <c r="F240" t="s">
        <v>39</v>
      </c>
      <c r="G240" t="s">
        <v>111</v>
      </c>
      <c r="H240" t="s">
        <v>112</v>
      </c>
      <c r="I240" t="s">
        <v>31</v>
      </c>
      <c r="J240" t="s">
        <v>203</v>
      </c>
      <c r="K240" t="s">
        <v>61</v>
      </c>
      <c r="L240" t="s">
        <v>80</v>
      </c>
      <c r="M240" t="s">
        <v>187</v>
      </c>
      <c r="N240" t="s">
        <v>36</v>
      </c>
      <c r="O240" s="3">
        <v>1362.45</v>
      </c>
      <c r="P240">
        <v>3</v>
      </c>
      <c r="Q240" s="4">
        <v>0</v>
      </c>
      <c r="R240" s="3">
        <v>4087.3500000000004</v>
      </c>
      <c r="S240" s="3">
        <v>869.24</v>
      </c>
      <c r="T240" s="3">
        <v>2607.7200000000003</v>
      </c>
      <c r="U240" s="3">
        <v>1479.63</v>
      </c>
      <c r="V240" s="5">
        <v>0.3620022753128555</v>
      </c>
      <c r="W240">
        <v>3</v>
      </c>
      <c r="X240" t="s">
        <v>37</v>
      </c>
      <c r="Y240" s="6">
        <v>5</v>
      </c>
    </row>
    <row r="241" spans="1:25">
      <c r="A241" t="s">
        <v>503</v>
      </c>
      <c r="B241" s="2">
        <v>45215</v>
      </c>
      <c r="C241">
        <v>2023</v>
      </c>
      <c r="D241" t="s">
        <v>488</v>
      </c>
      <c r="E241" t="s">
        <v>489</v>
      </c>
      <c r="F241" t="s">
        <v>39</v>
      </c>
      <c r="G241" t="s">
        <v>40</v>
      </c>
      <c r="H241" t="s">
        <v>41</v>
      </c>
      <c r="I241" t="s">
        <v>31</v>
      </c>
      <c r="J241" t="s">
        <v>504</v>
      </c>
      <c r="K241" t="s">
        <v>47</v>
      </c>
      <c r="L241" t="s">
        <v>48</v>
      </c>
      <c r="M241" t="s">
        <v>104</v>
      </c>
      <c r="N241" t="s">
        <v>44</v>
      </c>
      <c r="O241" s="3">
        <v>54.92</v>
      </c>
      <c r="P241">
        <v>6</v>
      </c>
      <c r="Q241" s="4">
        <v>0.15</v>
      </c>
      <c r="R241" s="3">
        <v>280.09199999999998</v>
      </c>
      <c r="S241" s="3">
        <v>30.14</v>
      </c>
      <c r="T241" s="3">
        <v>180.84</v>
      </c>
      <c r="U241" s="3">
        <v>99.251999999999981</v>
      </c>
      <c r="V241" s="5">
        <v>0.35435499764363132</v>
      </c>
      <c r="W241">
        <v>2</v>
      </c>
      <c r="X241" t="s">
        <v>58</v>
      </c>
      <c r="Y241" s="6">
        <v>3</v>
      </c>
    </row>
    <row r="242" spans="1:25">
      <c r="A242" t="s">
        <v>505</v>
      </c>
      <c r="B242" s="2">
        <v>45218</v>
      </c>
      <c r="C242">
        <v>2023</v>
      </c>
      <c r="D242" t="s">
        <v>488</v>
      </c>
      <c r="E242" t="s">
        <v>489</v>
      </c>
      <c r="F242" t="s">
        <v>51</v>
      </c>
      <c r="G242" t="s">
        <v>52</v>
      </c>
      <c r="H242" t="s">
        <v>53</v>
      </c>
      <c r="I242" t="s">
        <v>71</v>
      </c>
      <c r="J242" t="s">
        <v>506</v>
      </c>
      <c r="K242" t="s">
        <v>33</v>
      </c>
      <c r="L242" t="s">
        <v>34</v>
      </c>
      <c r="M242" t="s">
        <v>150</v>
      </c>
      <c r="N242" t="s">
        <v>44</v>
      </c>
      <c r="O242" s="3">
        <v>444.33</v>
      </c>
      <c r="P242">
        <v>5</v>
      </c>
      <c r="Q242" s="4">
        <v>0</v>
      </c>
      <c r="R242" s="3">
        <v>2221.65</v>
      </c>
      <c r="S242" s="3">
        <v>246.14</v>
      </c>
      <c r="T242" s="3">
        <v>1230.6999999999998</v>
      </c>
      <c r="U242" s="3">
        <v>990.95000000000027</v>
      </c>
      <c r="V242" s="5">
        <v>0.44604235590664609</v>
      </c>
      <c r="W242">
        <v>8</v>
      </c>
      <c r="X242" t="s">
        <v>37</v>
      </c>
      <c r="Y242" s="6">
        <v>4</v>
      </c>
    </row>
    <row r="243" spans="1:25">
      <c r="A243" t="s">
        <v>507</v>
      </c>
      <c r="B243" s="2">
        <v>45218</v>
      </c>
      <c r="C243">
        <v>2023</v>
      </c>
      <c r="D243" t="s">
        <v>488</v>
      </c>
      <c r="E243" t="s">
        <v>489</v>
      </c>
      <c r="F243" t="s">
        <v>28</v>
      </c>
      <c r="G243" t="s">
        <v>29</v>
      </c>
      <c r="H243" t="s">
        <v>60</v>
      </c>
      <c r="I243" t="s">
        <v>42</v>
      </c>
      <c r="J243" t="s">
        <v>508</v>
      </c>
      <c r="K243" t="s">
        <v>61</v>
      </c>
      <c r="L243" t="s">
        <v>80</v>
      </c>
      <c r="M243" t="s">
        <v>187</v>
      </c>
      <c r="N243" t="s">
        <v>44</v>
      </c>
      <c r="O243" s="3">
        <v>1267.68</v>
      </c>
      <c r="P243">
        <v>4</v>
      </c>
      <c r="Q243" s="4">
        <v>0.2</v>
      </c>
      <c r="R243" s="3">
        <v>4056.5760000000005</v>
      </c>
      <c r="S243" s="3">
        <v>834.75</v>
      </c>
      <c r="T243" s="3">
        <v>3339</v>
      </c>
      <c r="U243" s="3">
        <v>717.57600000000048</v>
      </c>
      <c r="V243" s="5">
        <v>0.17689203900037875</v>
      </c>
      <c r="W243">
        <v>7</v>
      </c>
      <c r="X243" t="s">
        <v>37</v>
      </c>
      <c r="Y243" s="6">
        <v>4</v>
      </c>
    </row>
    <row r="244" spans="1:25">
      <c r="A244" t="s">
        <v>509</v>
      </c>
      <c r="B244" s="2">
        <v>45220</v>
      </c>
      <c r="C244">
        <v>2023</v>
      </c>
      <c r="D244" t="s">
        <v>488</v>
      </c>
      <c r="E244" t="s">
        <v>489</v>
      </c>
      <c r="F244" t="s">
        <v>28</v>
      </c>
      <c r="G244" t="s">
        <v>29</v>
      </c>
      <c r="H244" t="s">
        <v>30</v>
      </c>
      <c r="I244" t="s">
        <v>42</v>
      </c>
      <c r="J244" t="s">
        <v>510</v>
      </c>
      <c r="K244" t="s">
        <v>33</v>
      </c>
      <c r="L244" t="s">
        <v>34</v>
      </c>
      <c r="M244" t="s">
        <v>150</v>
      </c>
      <c r="N244" t="s">
        <v>57</v>
      </c>
      <c r="O244" s="3">
        <v>421.21</v>
      </c>
      <c r="P244">
        <v>4</v>
      </c>
      <c r="Q244" s="4">
        <v>0.15</v>
      </c>
      <c r="R244" s="3">
        <v>1432.1139999999998</v>
      </c>
      <c r="S244" s="3">
        <v>253.31</v>
      </c>
      <c r="T244" s="3">
        <v>1013.24</v>
      </c>
      <c r="U244" s="3">
        <v>418.8739999999998</v>
      </c>
      <c r="V244" s="5">
        <v>0.29248649199714538</v>
      </c>
      <c r="W244">
        <v>3</v>
      </c>
      <c r="X244" t="s">
        <v>37</v>
      </c>
      <c r="Y244" s="6">
        <v>5</v>
      </c>
    </row>
    <row r="245" spans="1:25">
      <c r="A245" t="s">
        <v>511</v>
      </c>
      <c r="B245" s="2">
        <v>45221</v>
      </c>
      <c r="C245">
        <v>2023</v>
      </c>
      <c r="D245" t="s">
        <v>488</v>
      </c>
      <c r="E245" t="s">
        <v>489</v>
      </c>
      <c r="F245" t="s">
        <v>65</v>
      </c>
      <c r="G245" t="s">
        <v>76</v>
      </c>
      <c r="H245" t="s">
        <v>126</v>
      </c>
      <c r="I245" t="s">
        <v>31</v>
      </c>
      <c r="J245" t="s">
        <v>504</v>
      </c>
      <c r="K245" t="s">
        <v>33</v>
      </c>
      <c r="L245" t="s">
        <v>88</v>
      </c>
      <c r="M245" t="s">
        <v>100</v>
      </c>
      <c r="N245" t="s">
        <v>36</v>
      </c>
      <c r="O245" s="3">
        <v>308.63</v>
      </c>
      <c r="P245">
        <v>1</v>
      </c>
      <c r="Q245" s="4">
        <v>0</v>
      </c>
      <c r="R245" s="3">
        <v>308.63</v>
      </c>
      <c r="S245" s="3">
        <v>153.43</v>
      </c>
      <c r="T245" s="3">
        <v>153.43</v>
      </c>
      <c r="U245" s="3">
        <v>155.19999999999999</v>
      </c>
      <c r="V245" s="5">
        <v>0.50286751125943685</v>
      </c>
      <c r="W245">
        <v>6</v>
      </c>
      <c r="X245" t="s">
        <v>37</v>
      </c>
      <c r="Y245" s="6">
        <v>4</v>
      </c>
    </row>
    <row r="246" spans="1:25">
      <c r="A246" t="s">
        <v>512</v>
      </c>
      <c r="B246" s="2">
        <v>45221</v>
      </c>
      <c r="C246">
        <v>2023</v>
      </c>
      <c r="D246" t="s">
        <v>488</v>
      </c>
      <c r="E246" t="s">
        <v>489</v>
      </c>
      <c r="F246" t="s">
        <v>51</v>
      </c>
      <c r="G246" t="s">
        <v>97</v>
      </c>
      <c r="H246" t="s">
        <v>98</v>
      </c>
      <c r="I246" t="s">
        <v>31</v>
      </c>
      <c r="J246" t="s">
        <v>270</v>
      </c>
      <c r="K246" t="s">
        <v>33</v>
      </c>
      <c r="L246" t="s">
        <v>88</v>
      </c>
      <c r="M246" t="s">
        <v>100</v>
      </c>
      <c r="N246" t="s">
        <v>57</v>
      </c>
      <c r="O246" s="3">
        <v>284.26</v>
      </c>
      <c r="P246">
        <v>4</v>
      </c>
      <c r="Q246" s="4">
        <v>0.15</v>
      </c>
      <c r="R246" s="3">
        <v>966.48399999999992</v>
      </c>
      <c r="S246" s="3">
        <v>159.41</v>
      </c>
      <c r="T246" s="3">
        <v>637.64</v>
      </c>
      <c r="U246" s="3">
        <v>328.84399999999994</v>
      </c>
      <c r="V246" s="5">
        <v>0.34024774336667751</v>
      </c>
      <c r="W246">
        <v>3</v>
      </c>
      <c r="X246" t="s">
        <v>37</v>
      </c>
      <c r="Y246" s="6">
        <v>5</v>
      </c>
    </row>
    <row r="247" spans="1:25">
      <c r="A247" t="s">
        <v>513</v>
      </c>
      <c r="B247" s="2">
        <v>45221</v>
      </c>
      <c r="C247">
        <v>2023</v>
      </c>
      <c r="D247" t="s">
        <v>488</v>
      </c>
      <c r="E247" t="s">
        <v>489</v>
      </c>
      <c r="F247" t="s">
        <v>39</v>
      </c>
      <c r="G247" t="s">
        <v>40</v>
      </c>
      <c r="H247" t="s">
        <v>41</v>
      </c>
      <c r="I247" t="s">
        <v>31</v>
      </c>
      <c r="J247" t="s">
        <v>514</v>
      </c>
      <c r="K247" t="s">
        <v>33</v>
      </c>
      <c r="L247" t="s">
        <v>73</v>
      </c>
      <c r="M247" t="s">
        <v>74</v>
      </c>
      <c r="N247" t="s">
        <v>36</v>
      </c>
      <c r="O247" s="3">
        <v>671.16</v>
      </c>
      <c r="P247">
        <v>4</v>
      </c>
      <c r="Q247" s="4">
        <v>0.1</v>
      </c>
      <c r="R247" s="3">
        <v>2416.1759999999999</v>
      </c>
      <c r="S247" s="3">
        <v>423.08</v>
      </c>
      <c r="T247" s="3">
        <v>1692.32</v>
      </c>
      <c r="U247" s="3">
        <v>723.85599999999999</v>
      </c>
      <c r="V247" s="5">
        <v>0.29958744727205305</v>
      </c>
      <c r="W247">
        <v>3</v>
      </c>
      <c r="X247" t="s">
        <v>37</v>
      </c>
      <c r="Y247" s="6">
        <v>4</v>
      </c>
    </row>
    <row r="248" spans="1:25">
      <c r="A248" t="s">
        <v>515</v>
      </c>
      <c r="B248" s="2">
        <v>45221</v>
      </c>
      <c r="C248">
        <v>2023</v>
      </c>
      <c r="D248" t="s">
        <v>488</v>
      </c>
      <c r="E248" t="s">
        <v>489</v>
      </c>
      <c r="F248" t="s">
        <v>28</v>
      </c>
      <c r="G248" t="s">
        <v>29</v>
      </c>
      <c r="H248" t="s">
        <v>30</v>
      </c>
      <c r="I248" t="s">
        <v>31</v>
      </c>
      <c r="J248" t="s">
        <v>516</v>
      </c>
      <c r="K248" t="s">
        <v>33</v>
      </c>
      <c r="L248" t="s">
        <v>88</v>
      </c>
      <c r="M248" t="s">
        <v>100</v>
      </c>
      <c r="N248" t="s">
        <v>44</v>
      </c>
      <c r="O248" s="3">
        <v>309.01</v>
      </c>
      <c r="P248">
        <v>3</v>
      </c>
      <c r="Q248" s="4">
        <v>0</v>
      </c>
      <c r="R248" s="3">
        <v>927.03</v>
      </c>
      <c r="S248" s="3">
        <v>156.22</v>
      </c>
      <c r="T248" s="3">
        <v>468.65999999999997</v>
      </c>
      <c r="U248" s="3">
        <v>458.37</v>
      </c>
      <c r="V248" s="5">
        <v>0.49445001779877673</v>
      </c>
      <c r="W248">
        <v>4</v>
      </c>
      <c r="X248" t="s">
        <v>37</v>
      </c>
      <c r="Y248" s="6">
        <v>4</v>
      </c>
    </row>
    <row r="249" spans="1:25">
      <c r="A249" t="s">
        <v>517</v>
      </c>
      <c r="B249" s="2">
        <v>45228</v>
      </c>
      <c r="C249">
        <v>2023</v>
      </c>
      <c r="D249" t="s">
        <v>488</v>
      </c>
      <c r="E249" t="s">
        <v>489</v>
      </c>
      <c r="F249" t="s">
        <v>28</v>
      </c>
      <c r="G249" t="s">
        <v>29</v>
      </c>
      <c r="H249" t="s">
        <v>30</v>
      </c>
      <c r="I249" t="s">
        <v>31</v>
      </c>
      <c r="J249" t="s">
        <v>486</v>
      </c>
      <c r="K249" t="s">
        <v>33</v>
      </c>
      <c r="L249" t="s">
        <v>73</v>
      </c>
      <c r="M249" t="s">
        <v>74</v>
      </c>
      <c r="N249" t="s">
        <v>57</v>
      </c>
      <c r="O249" s="3">
        <v>682.23</v>
      </c>
      <c r="P249">
        <v>3</v>
      </c>
      <c r="Q249" s="4">
        <v>0.15</v>
      </c>
      <c r="R249" s="3">
        <v>1739.6865</v>
      </c>
      <c r="S249" s="3">
        <v>422.49</v>
      </c>
      <c r="T249" s="3">
        <v>1267.47</v>
      </c>
      <c r="U249" s="3">
        <v>472.2165</v>
      </c>
      <c r="V249" s="5">
        <v>0.27143769868881545</v>
      </c>
      <c r="W249">
        <v>6</v>
      </c>
      <c r="X249" t="s">
        <v>37</v>
      </c>
      <c r="Y249" s="6">
        <v>4</v>
      </c>
    </row>
    <row r="250" spans="1:25">
      <c r="A250" t="s">
        <v>518</v>
      </c>
      <c r="B250" s="2">
        <v>45232</v>
      </c>
      <c r="C250">
        <v>2023</v>
      </c>
      <c r="D250" t="s">
        <v>488</v>
      </c>
      <c r="E250" t="s">
        <v>519</v>
      </c>
      <c r="F250" t="s">
        <v>65</v>
      </c>
      <c r="G250" t="s">
        <v>76</v>
      </c>
      <c r="H250" t="s">
        <v>77</v>
      </c>
      <c r="I250" t="s">
        <v>71</v>
      </c>
      <c r="J250" t="s">
        <v>109</v>
      </c>
      <c r="K250" t="s">
        <v>61</v>
      </c>
      <c r="L250" t="s">
        <v>84</v>
      </c>
      <c r="M250" t="s">
        <v>135</v>
      </c>
      <c r="N250" t="s">
        <v>36</v>
      </c>
      <c r="O250" s="3">
        <v>865.22</v>
      </c>
      <c r="P250">
        <v>2</v>
      </c>
      <c r="Q250" s="4">
        <v>0</v>
      </c>
      <c r="R250" s="3">
        <v>1730.44</v>
      </c>
      <c r="S250" s="3">
        <v>554.63</v>
      </c>
      <c r="T250" s="3">
        <v>1109.26</v>
      </c>
      <c r="U250" s="3">
        <v>621.18000000000006</v>
      </c>
      <c r="V250" s="5">
        <v>0.35897228450567487</v>
      </c>
      <c r="W250">
        <v>2</v>
      </c>
      <c r="X250" t="s">
        <v>37</v>
      </c>
      <c r="Y250" s="6">
        <v>4</v>
      </c>
    </row>
    <row r="251" spans="1:25">
      <c r="A251" t="s">
        <v>520</v>
      </c>
      <c r="B251" s="2">
        <v>45232</v>
      </c>
      <c r="C251">
        <v>2023</v>
      </c>
      <c r="D251" t="s">
        <v>488</v>
      </c>
      <c r="E251" t="s">
        <v>519</v>
      </c>
      <c r="F251" t="s">
        <v>28</v>
      </c>
      <c r="G251" t="s">
        <v>29</v>
      </c>
      <c r="H251" t="s">
        <v>106</v>
      </c>
      <c r="I251" t="s">
        <v>78</v>
      </c>
      <c r="J251" t="s">
        <v>521</v>
      </c>
      <c r="K251" t="s">
        <v>33</v>
      </c>
      <c r="L251" t="s">
        <v>88</v>
      </c>
      <c r="M251" t="s">
        <v>89</v>
      </c>
      <c r="N251" t="s">
        <v>57</v>
      </c>
      <c r="O251" s="3">
        <v>238.22</v>
      </c>
      <c r="P251">
        <v>2</v>
      </c>
      <c r="Q251" s="4">
        <v>0</v>
      </c>
      <c r="R251" s="3">
        <v>476.44</v>
      </c>
      <c r="S251" s="3">
        <v>129.27000000000001</v>
      </c>
      <c r="T251" s="3">
        <v>258.54000000000002</v>
      </c>
      <c r="U251" s="3">
        <v>217.89999999999998</v>
      </c>
      <c r="V251" s="5">
        <v>0.45735034841742922</v>
      </c>
      <c r="W251">
        <v>2</v>
      </c>
      <c r="X251" t="s">
        <v>37</v>
      </c>
      <c r="Y251" s="6">
        <v>5</v>
      </c>
    </row>
    <row r="252" spans="1:25">
      <c r="A252" t="s">
        <v>522</v>
      </c>
      <c r="B252" s="2">
        <v>45234</v>
      </c>
      <c r="C252">
        <v>2023</v>
      </c>
      <c r="D252" t="s">
        <v>488</v>
      </c>
      <c r="E252" t="s">
        <v>519</v>
      </c>
      <c r="F252" t="s">
        <v>28</v>
      </c>
      <c r="G252" t="s">
        <v>29</v>
      </c>
      <c r="H252" t="s">
        <v>106</v>
      </c>
      <c r="I252" t="s">
        <v>71</v>
      </c>
      <c r="J252" t="s">
        <v>213</v>
      </c>
      <c r="K252" t="s">
        <v>47</v>
      </c>
      <c r="L252" t="s">
        <v>55</v>
      </c>
      <c r="M252" t="s">
        <v>56</v>
      </c>
      <c r="N252" t="s">
        <v>44</v>
      </c>
      <c r="O252" s="3">
        <v>39.5</v>
      </c>
      <c r="P252">
        <v>3</v>
      </c>
      <c r="Q252" s="4">
        <v>0.15</v>
      </c>
      <c r="R252" s="3">
        <v>100.72499999999999</v>
      </c>
      <c r="S252" s="3">
        <v>16.96</v>
      </c>
      <c r="T252" s="3">
        <v>50.88</v>
      </c>
      <c r="U252" s="3">
        <v>49.844999999999992</v>
      </c>
      <c r="V252" s="5">
        <v>0.49486224869694706</v>
      </c>
      <c r="W252">
        <v>2</v>
      </c>
      <c r="X252" t="s">
        <v>37</v>
      </c>
      <c r="Y252" s="6">
        <v>5</v>
      </c>
    </row>
    <row r="253" spans="1:25">
      <c r="A253" t="s">
        <v>523</v>
      </c>
      <c r="B253" s="2">
        <v>45235</v>
      </c>
      <c r="C253">
        <v>2023</v>
      </c>
      <c r="D253" t="s">
        <v>488</v>
      </c>
      <c r="E253" t="s">
        <v>519</v>
      </c>
      <c r="F253" t="s">
        <v>28</v>
      </c>
      <c r="G253" t="s">
        <v>29</v>
      </c>
      <c r="H253" t="s">
        <v>106</v>
      </c>
      <c r="I253" t="s">
        <v>78</v>
      </c>
      <c r="J253" t="s">
        <v>213</v>
      </c>
      <c r="K253" t="s">
        <v>33</v>
      </c>
      <c r="L253" t="s">
        <v>88</v>
      </c>
      <c r="M253" t="s">
        <v>89</v>
      </c>
      <c r="N253" t="s">
        <v>36</v>
      </c>
      <c r="O253" s="3">
        <v>254.79</v>
      </c>
      <c r="P253">
        <v>4</v>
      </c>
      <c r="Q253" s="4">
        <v>0</v>
      </c>
      <c r="R253" s="3">
        <v>1019.16</v>
      </c>
      <c r="S253" s="3">
        <v>131.37</v>
      </c>
      <c r="T253" s="3">
        <v>525.48</v>
      </c>
      <c r="U253" s="3">
        <v>493.67999999999995</v>
      </c>
      <c r="V253" s="5">
        <v>0.48439891675497465</v>
      </c>
      <c r="W253">
        <v>7</v>
      </c>
      <c r="X253" t="s">
        <v>37</v>
      </c>
      <c r="Y253" s="6">
        <v>4</v>
      </c>
    </row>
    <row r="254" spans="1:25">
      <c r="A254" t="s">
        <v>524</v>
      </c>
      <c r="B254" s="2">
        <v>45236</v>
      </c>
      <c r="C254">
        <v>2023</v>
      </c>
      <c r="D254" t="s">
        <v>488</v>
      </c>
      <c r="E254" t="s">
        <v>519</v>
      </c>
      <c r="F254" t="s">
        <v>65</v>
      </c>
      <c r="G254" t="s">
        <v>76</v>
      </c>
      <c r="H254" t="s">
        <v>77</v>
      </c>
      <c r="I254" t="s">
        <v>78</v>
      </c>
      <c r="J254" t="s">
        <v>525</v>
      </c>
      <c r="K254" t="s">
        <v>33</v>
      </c>
      <c r="L254" t="s">
        <v>88</v>
      </c>
      <c r="M254" t="s">
        <v>89</v>
      </c>
      <c r="N254" t="s">
        <v>36</v>
      </c>
      <c r="O254" s="3">
        <v>249.88</v>
      </c>
      <c r="P254">
        <v>4</v>
      </c>
      <c r="Q254" s="4">
        <v>0</v>
      </c>
      <c r="R254" s="3">
        <v>999.52</v>
      </c>
      <c r="S254" s="3">
        <v>130.56</v>
      </c>
      <c r="T254" s="3">
        <v>522.24</v>
      </c>
      <c r="U254" s="3">
        <v>477.28</v>
      </c>
      <c r="V254" s="5">
        <v>0.47750920441812067</v>
      </c>
      <c r="W254">
        <v>4</v>
      </c>
      <c r="X254" t="s">
        <v>37</v>
      </c>
      <c r="Y254" s="6">
        <v>5</v>
      </c>
    </row>
    <row r="255" spans="1:25">
      <c r="A255" t="s">
        <v>526</v>
      </c>
      <c r="B255" s="2">
        <v>45237</v>
      </c>
      <c r="C255">
        <v>2023</v>
      </c>
      <c r="D255" t="s">
        <v>488</v>
      </c>
      <c r="E255" t="s">
        <v>519</v>
      </c>
      <c r="F255" t="s">
        <v>51</v>
      </c>
      <c r="G255" t="s">
        <v>97</v>
      </c>
      <c r="H255" t="s">
        <v>98</v>
      </c>
      <c r="I255" t="s">
        <v>42</v>
      </c>
      <c r="J255" t="s">
        <v>527</v>
      </c>
      <c r="K255" t="s">
        <v>61</v>
      </c>
      <c r="L255" t="s">
        <v>80</v>
      </c>
      <c r="M255" t="s">
        <v>81</v>
      </c>
      <c r="N255" t="s">
        <v>57</v>
      </c>
      <c r="O255" s="3">
        <v>1032</v>
      </c>
      <c r="P255">
        <v>2</v>
      </c>
      <c r="Q255" s="4">
        <v>0</v>
      </c>
      <c r="R255" s="3">
        <v>2064</v>
      </c>
      <c r="S255" s="3">
        <v>662.02</v>
      </c>
      <c r="T255" s="3">
        <v>1324.04</v>
      </c>
      <c r="U255" s="3">
        <v>739.96</v>
      </c>
      <c r="V255" s="5">
        <v>0.35850775193798451</v>
      </c>
      <c r="W255">
        <v>7</v>
      </c>
      <c r="X255" t="s">
        <v>37</v>
      </c>
      <c r="Y255" s="6">
        <v>4</v>
      </c>
    </row>
    <row r="256" spans="1:25">
      <c r="A256" t="s">
        <v>528</v>
      </c>
      <c r="B256" s="2">
        <v>45237</v>
      </c>
      <c r="C256">
        <v>2023</v>
      </c>
      <c r="D256" t="s">
        <v>488</v>
      </c>
      <c r="E256" t="s">
        <v>519</v>
      </c>
      <c r="F256" t="s">
        <v>28</v>
      </c>
      <c r="G256" t="s">
        <v>29</v>
      </c>
      <c r="H256" t="s">
        <v>60</v>
      </c>
      <c r="I256" t="s">
        <v>78</v>
      </c>
      <c r="J256" t="s">
        <v>311</v>
      </c>
      <c r="K256" t="s">
        <v>61</v>
      </c>
      <c r="L256" t="s">
        <v>80</v>
      </c>
      <c r="M256" t="s">
        <v>187</v>
      </c>
      <c r="N256" t="s">
        <v>44</v>
      </c>
      <c r="O256" s="3">
        <v>1236.05</v>
      </c>
      <c r="P256">
        <v>4</v>
      </c>
      <c r="Q256" s="4">
        <v>0.1</v>
      </c>
      <c r="R256" s="3">
        <v>4449.78</v>
      </c>
      <c r="S256" s="3">
        <v>859.41</v>
      </c>
      <c r="T256" s="3">
        <v>3437.64</v>
      </c>
      <c r="U256" s="3">
        <v>1012.1399999999999</v>
      </c>
      <c r="V256" s="5">
        <v>0.22745843614740502</v>
      </c>
      <c r="W256">
        <v>6</v>
      </c>
      <c r="X256" t="s">
        <v>37</v>
      </c>
      <c r="Y256" s="6">
        <v>4</v>
      </c>
    </row>
    <row r="257" spans="1:25">
      <c r="A257" t="s">
        <v>529</v>
      </c>
      <c r="B257" s="2">
        <v>45237</v>
      </c>
      <c r="C257">
        <v>2023</v>
      </c>
      <c r="D257" t="s">
        <v>488</v>
      </c>
      <c r="E257" t="s">
        <v>519</v>
      </c>
      <c r="F257" t="s">
        <v>51</v>
      </c>
      <c r="G257" t="s">
        <v>52</v>
      </c>
      <c r="H257" t="s">
        <v>53</v>
      </c>
      <c r="I257" t="s">
        <v>31</v>
      </c>
      <c r="J257" t="s">
        <v>504</v>
      </c>
      <c r="K257" t="s">
        <v>47</v>
      </c>
      <c r="L257" t="s">
        <v>114</v>
      </c>
      <c r="M257" t="s">
        <v>115</v>
      </c>
      <c r="N257" t="s">
        <v>44</v>
      </c>
      <c r="O257" s="3">
        <v>17.66</v>
      </c>
      <c r="P257">
        <v>5</v>
      </c>
      <c r="Q257" s="4">
        <v>0.05</v>
      </c>
      <c r="R257" s="3">
        <v>83.884999999999991</v>
      </c>
      <c r="S257" s="3">
        <v>7.13</v>
      </c>
      <c r="T257" s="3">
        <v>35.65</v>
      </c>
      <c r="U257" s="3">
        <v>48.234999999999992</v>
      </c>
      <c r="V257" s="5">
        <v>0.57501341121773852</v>
      </c>
      <c r="W257">
        <v>6</v>
      </c>
      <c r="X257" t="s">
        <v>37</v>
      </c>
      <c r="Y257" s="6">
        <v>5</v>
      </c>
    </row>
    <row r="258" spans="1:25">
      <c r="A258" t="s">
        <v>530</v>
      </c>
      <c r="B258" s="2">
        <v>45239</v>
      </c>
      <c r="C258">
        <v>2023</v>
      </c>
      <c r="D258" t="s">
        <v>488</v>
      </c>
      <c r="E258" t="s">
        <v>519</v>
      </c>
      <c r="F258" t="s">
        <v>28</v>
      </c>
      <c r="G258" t="s">
        <v>29</v>
      </c>
      <c r="H258" t="s">
        <v>30</v>
      </c>
      <c r="I258" t="s">
        <v>71</v>
      </c>
      <c r="J258" t="s">
        <v>531</v>
      </c>
      <c r="K258" t="s">
        <v>61</v>
      </c>
      <c r="L258" t="s">
        <v>84</v>
      </c>
      <c r="M258" t="s">
        <v>85</v>
      </c>
      <c r="N258" t="s">
        <v>36</v>
      </c>
      <c r="O258" s="3">
        <v>148.96</v>
      </c>
      <c r="P258">
        <v>1</v>
      </c>
      <c r="Q258" s="4">
        <v>0.1</v>
      </c>
      <c r="R258" s="3">
        <v>134.06400000000002</v>
      </c>
      <c r="S258" s="3">
        <v>69.959999999999994</v>
      </c>
      <c r="T258" s="3">
        <v>69.959999999999994</v>
      </c>
      <c r="U258" s="3">
        <v>64.104000000000028</v>
      </c>
      <c r="V258" s="5">
        <v>0.47815968492660232</v>
      </c>
      <c r="W258">
        <v>1</v>
      </c>
      <c r="X258" t="s">
        <v>37</v>
      </c>
      <c r="Y258" s="6">
        <v>5</v>
      </c>
    </row>
    <row r="259" spans="1:25">
      <c r="A259" t="s">
        <v>532</v>
      </c>
      <c r="B259" s="2">
        <v>45240</v>
      </c>
      <c r="C259">
        <v>2023</v>
      </c>
      <c r="D259" t="s">
        <v>488</v>
      </c>
      <c r="E259" t="s">
        <v>519</v>
      </c>
      <c r="F259" t="s">
        <v>51</v>
      </c>
      <c r="G259" t="s">
        <v>52</v>
      </c>
      <c r="H259" t="s">
        <v>53</v>
      </c>
      <c r="I259" t="s">
        <v>78</v>
      </c>
      <c r="J259" t="s">
        <v>533</v>
      </c>
      <c r="K259" t="s">
        <v>47</v>
      </c>
      <c r="L259" t="s">
        <v>55</v>
      </c>
      <c r="M259" t="s">
        <v>56</v>
      </c>
      <c r="N259" t="s">
        <v>57</v>
      </c>
      <c r="O259" s="3">
        <v>40.69</v>
      </c>
      <c r="P259">
        <v>2</v>
      </c>
      <c r="Q259" s="4">
        <v>0</v>
      </c>
      <c r="R259" s="3">
        <v>81.38</v>
      </c>
      <c r="S259" s="3">
        <v>16.52</v>
      </c>
      <c r="T259" s="3">
        <v>33.04</v>
      </c>
      <c r="U259" s="3">
        <v>48.339999999999996</v>
      </c>
      <c r="V259" s="5">
        <v>0.59400344064880806</v>
      </c>
      <c r="W259">
        <v>2</v>
      </c>
      <c r="X259" t="s">
        <v>37</v>
      </c>
      <c r="Y259" s="6">
        <v>5</v>
      </c>
    </row>
    <row r="260" spans="1:25">
      <c r="A260" t="s">
        <v>534</v>
      </c>
      <c r="B260" s="2">
        <v>45244</v>
      </c>
      <c r="C260">
        <v>2023</v>
      </c>
      <c r="D260" t="s">
        <v>488</v>
      </c>
      <c r="E260" t="s">
        <v>519</v>
      </c>
      <c r="F260" t="s">
        <v>51</v>
      </c>
      <c r="G260" t="s">
        <v>52</v>
      </c>
      <c r="H260" t="s">
        <v>102</v>
      </c>
      <c r="I260" t="s">
        <v>31</v>
      </c>
      <c r="J260" t="s">
        <v>535</v>
      </c>
      <c r="K260" t="s">
        <v>33</v>
      </c>
      <c r="L260" t="s">
        <v>73</v>
      </c>
      <c r="M260" t="s">
        <v>138</v>
      </c>
      <c r="N260" t="s">
        <v>57</v>
      </c>
      <c r="O260" s="3">
        <v>322.52999999999997</v>
      </c>
      <c r="P260">
        <v>1</v>
      </c>
      <c r="Q260" s="4">
        <v>0.05</v>
      </c>
      <c r="R260" s="3">
        <v>306.40349999999995</v>
      </c>
      <c r="S260" s="3">
        <v>175.13</v>
      </c>
      <c r="T260" s="3">
        <v>175.13</v>
      </c>
      <c r="U260" s="3">
        <v>131.27349999999996</v>
      </c>
      <c r="V260" s="5">
        <v>0.42843342194198164</v>
      </c>
      <c r="W260">
        <v>7</v>
      </c>
      <c r="X260" t="s">
        <v>37</v>
      </c>
      <c r="Y260" s="6">
        <v>4</v>
      </c>
    </row>
    <row r="261" spans="1:25">
      <c r="A261" t="s">
        <v>536</v>
      </c>
      <c r="B261" s="2">
        <v>45245</v>
      </c>
      <c r="C261">
        <v>2023</v>
      </c>
      <c r="D261" t="s">
        <v>488</v>
      </c>
      <c r="E261" t="s">
        <v>519</v>
      </c>
      <c r="F261" t="s">
        <v>39</v>
      </c>
      <c r="G261" t="s">
        <v>40</v>
      </c>
      <c r="H261" t="s">
        <v>41</v>
      </c>
      <c r="I261" t="s">
        <v>71</v>
      </c>
      <c r="J261" t="s">
        <v>256</v>
      </c>
      <c r="K261" t="s">
        <v>33</v>
      </c>
      <c r="L261" t="s">
        <v>34</v>
      </c>
      <c r="M261" t="s">
        <v>150</v>
      </c>
      <c r="N261" t="s">
        <v>36</v>
      </c>
      <c r="O261" s="3">
        <v>420.83</v>
      </c>
      <c r="P261">
        <v>3</v>
      </c>
      <c r="Q261" s="4">
        <v>0.15</v>
      </c>
      <c r="R261" s="3">
        <v>1073.1165000000001</v>
      </c>
      <c r="S261" s="3">
        <v>242.82</v>
      </c>
      <c r="T261" s="3">
        <v>728.46</v>
      </c>
      <c r="U261" s="3">
        <v>344.65650000000005</v>
      </c>
      <c r="V261" s="5">
        <v>0.32117342338879329</v>
      </c>
      <c r="W261">
        <v>2</v>
      </c>
      <c r="X261" t="s">
        <v>37</v>
      </c>
      <c r="Y261" s="6">
        <v>5</v>
      </c>
    </row>
    <row r="262" spans="1:25">
      <c r="A262" t="s">
        <v>537</v>
      </c>
      <c r="B262" s="2">
        <v>45245</v>
      </c>
      <c r="C262">
        <v>2023</v>
      </c>
      <c r="D262" t="s">
        <v>488</v>
      </c>
      <c r="E262" t="s">
        <v>519</v>
      </c>
      <c r="F262" t="s">
        <v>65</v>
      </c>
      <c r="G262" t="s">
        <v>76</v>
      </c>
      <c r="H262" t="s">
        <v>126</v>
      </c>
      <c r="I262" t="s">
        <v>42</v>
      </c>
      <c r="J262" t="s">
        <v>538</v>
      </c>
      <c r="K262" t="s">
        <v>61</v>
      </c>
      <c r="L262" t="s">
        <v>80</v>
      </c>
      <c r="M262" t="s">
        <v>81</v>
      </c>
      <c r="N262" t="s">
        <v>44</v>
      </c>
      <c r="O262" s="3">
        <v>1043.8699999999999</v>
      </c>
      <c r="P262">
        <v>4</v>
      </c>
      <c r="Q262" s="4">
        <v>0.1</v>
      </c>
      <c r="R262" s="3">
        <v>3757.9319999999998</v>
      </c>
      <c r="S262" s="3">
        <v>679.3</v>
      </c>
      <c r="T262" s="3">
        <v>2717.2</v>
      </c>
      <c r="U262" s="3">
        <v>1040.732</v>
      </c>
      <c r="V262" s="5">
        <v>0.2769427440411375</v>
      </c>
      <c r="W262">
        <v>3</v>
      </c>
      <c r="X262" t="s">
        <v>37</v>
      </c>
      <c r="Y262" s="6">
        <v>4</v>
      </c>
    </row>
    <row r="263" spans="1:25">
      <c r="A263" t="s">
        <v>539</v>
      </c>
      <c r="B263" s="2">
        <v>45245</v>
      </c>
      <c r="C263">
        <v>2023</v>
      </c>
      <c r="D263" t="s">
        <v>488</v>
      </c>
      <c r="E263" t="s">
        <v>519</v>
      </c>
      <c r="F263" t="s">
        <v>28</v>
      </c>
      <c r="G263" t="s">
        <v>29</v>
      </c>
      <c r="H263" t="s">
        <v>106</v>
      </c>
      <c r="I263" t="s">
        <v>42</v>
      </c>
      <c r="J263" t="s">
        <v>215</v>
      </c>
      <c r="K263" t="s">
        <v>61</v>
      </c>
      <c r="L263" t="s">
        <v>84</v>
      </c>
      <c r="M263" t="s">
        <v>85</v>
      </c>
      <c r="N263" t="s">
        <v>44</v>
      </c>
      <c r="O263" s="3">
        <v>141.82</v>
      </c>
      <c r="P263">
        <v>5</v>
      </c>
      <c r="Q263" s="4">
        <v>0.15</v>
      </c>
      <c r="R263" s="3">
        <v>602.7349999999999</v>
      </c>
      <c r="S263" s="3">
        <v>70.22</v>
      </c>
      <c r="T263" s="3">
        <v>351.1</v>
      </c>
      <c r="U263" s="3">
        <v>251.63499999999988</v>
      </c>
      <c r="V263" s="5">
        <v>0.41748861439936275</v>
      </c>
      <c r="W263">
        <v>3</v>
      </c>
      <c r="X263" t="s">
        <v>37</v>
      </c>
      <c r="Y263" s="6">
        <v>5</v>
      </c>
    </row>
    <row r="264" spans="1:25">
      <c r="A264" t="s">
        <v>540</v>
      </c>
      <c r="B264" s="2">
        <v>45247</v>
      </c>
      <c r="C264">
        <v>2023</v>
      </c>
      <c r="D264" t="s">
        <v>488</v>
      </c>
      <c r="E264" t="s">
        <v>519</v>
      </c>
      <c r="F264" t="s">
        <v>51</v>
      </c>
      <c r="G264" t="s">
        <v>52</v>
      </c>
      <c r="H264" t="s">
        <v>53</v>
      </c>
      <c r="I264" t="s">
        <v>71</v>
      </c>
      <c r="J264" t="s">
        <v>407</v>
      </c>
      <c r="K264" t="s">
        <v>61</v>
      </c>
      <c r="L264" t="s">
        <v>62</v>
      </c>
      <c r="M264" t="s">
        <v>195</v>
      </c>
      <c r="N264" t="s">
        <v>44</v>
      </c>
      <c r="O264" s="3">
        <v>76.31</v>
      </c>
      <c r="P264">
        <v>1</v>
      </c>
      <c r="Q264" s="4">
        <v>0</v>
      </c>
      <c r="R264" s="3">
        <v>76.31</v>
      </c>
      <c r="S264" s="3">
        <v>31.11</v>
      </c>
      <c r="T264" s="3">
        <v>31.11</v>
      </c>
      <c r="U264" s="3">
        <v>45.2</v>
      </c>
      <c r="V264" s="5">
        <v>0.5923207967500983</v>
      </c>
      <c r="W264">
        <v>3</v>
      </c>
      <c r="X264" t="s">
        <v>58</v>
      </c>
      <c r="Y264" s="6">
        <v>4</v>
      </c>
    </row>
    <row r="265" spans="1:25">
      <c r="A265" t="s">
        <v>541</v>
      </c>
      <c r="B265" s="2">
        <v>45249</v>
      </c>
      <c r="C265">
        <v>2023</v>
      </c>
      <c r="D265" t="s">
        <v>488</v>
      </c>
      <c r="E265" t="s">
        <v>519</v>
      </c>
      <c r="F265" t="s">
        <v>65</v>
      </c>
      <c r="G265" t="s">
        <v>76</v>
      </c>
      <c r="H265" t="s">
        <v>126</v>
      </c>
      <c r="I265" t="s">
        <v>31</v>
      </c>
      <c r="J265" t="s">
        <v>109</v>
      </c>
      <c r="K265" t="s">
        <v>47</v>
      </c>
      <c r="L265" t="s">
        <v>114</v>
      </c>
      <c r="M265" t="s">
        <v>120</v>
      </c>
      <c r="N265" t="s">
        <v>44</v>
      </c>
      <c r="O265" s="3">
        <v>26.05</v>
      </c>
      <c r="P265">
        <v>11</v>
      </c>
      <c r="Q265" s="4">
        <v>0.05</v>
      </c>
      <c r="R265" s="3">
        <v>272.22250000000003</v>
      </c>
      <c r="S265" s="3">
        <v>10.84</v>
      </c>
      <c r="T265" s="3">
        <v>119.24</v>
      </c>
      <c r="U265" s="3">
        <v>152.98250000000002</v>
      </c>
      <c r="V265" s="5">
        <v>0.56197595716739068</v>
      </c>
      <c r="W265">
        <v>4</v>
      </c>
      <c r="X265" t="s">
        <v>37</v>
      </c>
      <c r="Y265" s="6">
        <v>5</v>
      </c>
    </row>
    <row r="266" spans="1:25">
      <c r="A266" t="s">
        <v>542</v>
      </c>
      <c r="B266" s="2">
        <v>45249</v>
      </c>
      <c r="C266">
        <v>2023</v>
      </c>
      <c r="D266" t="s">
        <v>488</v>
      </c>
      <c r="E266" t="s">
        <v>519</v>
      </c>
      <c r="F266" t="s">
        <v>51</v>
      </c>
      <c r="G266" t="s">
        <v>97</v>
      </c>
      <c r="H266" t="s">
        <v>98</v>
      </c>
      <c r="I266" t="s">
        <v>31</v>
      </c>
      <c r="J266" t="s">
        <v>543</v>
      </c>
      <c r="K266" t="s">
        <v>61</v>
      </c>
      <c r="L266" t="s">
        <v>62</v>
      </c>
      <c r="M266" t="s">
        <v>63</v>
      </c>
      <c r="N266" t="s">
        <v>36</v>
      </c>
      <c r="O266" s="3">
        <v>85.28</v>
      </c>
      <c r="P266">
        <v>3</v>
      </c>
      <c r="Q266" s="4">
        <v>0.05</v>
      </c>
      <c r="R266" s="3">
        <v>243.048</v>
      </c>
      <c r="S266" s="3">
        <v>43.77</v>
      </c>
      <c r="T266" s="3">
        <v>131.31</v>
      </c>
      <c r="U266" s="3">
        <v>111.738</v>
      </c>
      <c r="V266" s="5">
        <v>0.45973634837562949</v>
      </c>
      <c r="W266">
        <v>8</v>
      </c>
      <c r="X266" t="s">
        <v>58</v>
      </c>
      <c r="Y266" s="6">
        <v>3</v>
      </c>
    </row>
    <row r="267" spans="1:25">
      <c r="A267" t="s">
        <v>544</v>
      </c>
      <c r="B267" s="2">
        <v>45252</v>
      </c>
      <c r="C267">
        <v>2023</v>
      </c>
      <c r="D267" t="s">
        <v>488</v>
      </c>
      <c r="E267" t="s">
        <v>519</v>
      </c>
      <c r="F267" t="s">
        <v>65</v>
      </c>
      <c r="G267" t="s">
        <v>76</v>
      </c>
      <c r="H267" t="s">
        <v>126</v>
      </c>
      <c r="I267" t="s">
        <v>31</v>
      </c>
      <c r="J267" t="s">
        <v>127</v>
      </c>
      <c r="K267" t="s">
        <v>33</v>
      </c>
      <c r="L267" t="s">
        <v>73</v>
      </c>
      <c r="M267" t="s">
        <v>138</v>
      </c>
      <c r="N267" t="s">
        <v>36</v>
      </c>
      <c r="O267" s="3">
        <v>316.14999999999998</v>
      </c>
      <c r="P267">
        <v>2</v>
      </c>
      <c r="Q267" s="4">
        <v>0.1</v>
      </c>
      <c r="R267" s="3">
        <v>569.06999999999994</v>
      </c>
      <c r="S267" s="3">
        <v>174.46</v>
      </c>
      <c r="T267" s="3">
        <v>348.92</v>
      </c>
      <c r="U267" s="3">
        <v>220.14999999999992</v>
      </c>
      <c r="V267" s="5">
        <v>0.38685926160226325</v>
      </c>
      <c r="W267">
        <v>1</v>
      </c>
      <c r="X267" t="s">
        <v>37</v>
      </c>
      <c r="Y267" s="6">
        <v>5</v>
      </c>
    </row>
    <row r="268" spans="1:25">
      <c r="A268" t="s">
        <v>545</v>
      </c>
      <c r="B268" s="2">
        <v>45253</v>
      </c>
      <c r="C268">
        <v>2023</v>
      </c>
      <c r="D268" t="s">
        <v>488</v>
      </c>
      <c r="E268" t="s">
        <v>519</v>
      </c>
      <c r="F268" t="s">
        <v>39</v>
      </c>
      <c r="G268" t="s">
        <v>111</v>
      </c>
      <c r="H268" t="s">
        <v>112</v>
      </c>
      <c r="I268" t="s">
        <v>71</v>
      </c>
      <c r="J268" t="s">
        <v>248</v>
      </c>
      <c r="K268" t="s">
        <v>47</v>
      </c>
      <c r="L268" t="s">
        <v>55</v>
      </c>
      <c r="M268" t="s">
        <v>69</v>
      </c>
      <c r="N268" t="s">
        <v>36</v>
      </c>
      <c r="O268" s="3">
        <v>42.22</v>
      </c>
      <c r="P268">
        <v>10</v>
      </c>
      <c r="Q268" s="4">
        <v>0</v>
      </c>
      <c r="R268" s="3">
        <v>422.2</v>
      </c>
      <c r="S268" s="3">
        <v>22.34</v>
      </c>
      <c r="T268" s="3">
        <v>223.4</v>
      </c>
      <c r="U268" s="3">
        <v>198.79999999999998</v>
      </c>
      <c r="V268" s="5">
        <v>0.47086688773093316</v>
      </c>
      <c r="W268">
        <v>3</v>
      </c>
      <c r="X268" t="s">
        <v>37</v>
      </c>
      <c r="Y268" s="6">
        <v>5</v>
      </c>
    </row>
    <row r="269" spans="1:25">
      <c r="A269" t="s">
        <v>546</v>
      </c>
      <c r="B269" s="2">
        <v>45255</v>
      </c>
      <c r="C269">
        <v>2023</v>
      </c>
      <c r="D269" t="s">
        <v>488</v>
      </c>
      <c r="E269" t="s">
        <v>519</v>
      </c>
      <c r="F269" t="s">
        <v>65</v>
      </c>
      <c r="G269" t="s">
        <v>66</v>
      </c>
      <c r="H269" t="s">
        <v>67</v>
      </c>
      <c r="I269" t="s">
        <v>31</v>
      </c>
      <c r="J269" t="s">
        <v>547</v>
      </c>
      <c r="K269" t="s">
        <v>61</v>
      </c>
      <c r="L269" t="s">
        <v>62</v>
      </c>
      <c r="M269" t="s">
        <v>195</v>
      </c>
      <c r="N269" t="s">
        <v>44</v>
      </c>
      <c r="O269" s="3">
        <v>76.97</v>
      </c>
      <c r="P269">
        <v>3</v>
      </c>
      <c r="Q269" s="4">
        <v>0</v>
      </c>
      <c r="R269" s="3">
        <v>230.91</v>
      </c>
      <c r="S269" s="3">
        <v>32.78</v>
      </c>
      <c r="T269" s="3">
        <v>98.34</v>
      </c>
      <c r="U269" s="3">
        <v>132.57</v>
      </c>
      <c r="V269" s="5">
        <v>0.57411978692997268</v>
      </c>
      <c r="W269">
        <v>4</v>
      </c>
      <c r="X269" t="s">
        <v>37</v>
      </c>
      <c r="Y269" s="6">
        <v>5</v>
      </c>
    </row>
    <row r="270" spans="1:25">
      <c r="A270" t="s">
        <v>548</v>
      </c>
      <c r="B270" s="2">
        <v>45257</v>
      </c>
      <c r="C270">
        <v>2023</v>
      </c>
      <c r="D270" t="s">
        <v>488</v>
      </c>
      <c r="E270" t="s">
        <v>519</v>
      </c>
      <c r="F270" t="s">
        <v>28</v>
      </c>
      <c r="G270" t="s">
        <v>29</v>
      </c>
      <c r="H270" t="s">
        <v>60</v>
      </c>
      <c r="I270" t="s">
        <v>71</v>
      </c>
      <c r="J270" t="s">
        <v>549</v>
      </c>
      <c r="K270" t="s">
        <v>47</v>
      </c>
      <c r="L270" t="s">
        <v>48</v>
      </c>
      <c r="M270" t="s">
        <v>49</v>
      </c>
      <c r="N270" t="s">
        <v>44</v>
      </c>
      <c r="O270" s="3">
        <v>31.93</v>
      </c>
      <c r="P270">
        <v>1</v>
      </c>
      <c r="Q270" s="4">
        <v>0.15</v>
      </c>
      <c r="R270" s="3">
        <v>27.140499999999999</v>
      </c>
      <c r="S270" s="3">
        <v>13.61</v>
      </c>
      <c r="T270" s="3">
        <v>13.61</v>
      </c>
      <c r="U270" s="3">
        <v>13.5305</v>
      </c>
      <c r="V270" s="5">
        <v>0.49853539912676625</v>
      </c>
      <c r="W270">
        <v>2</v>
      </c>
      <c r="X270" t="s">
        <v>37</v>
      </c>
      <c r="Y270" s="6">
        <v>5</v>
      </c>
    </row>
    <row r="271" spans="1:25">
      <c r="A271" t="s">
        <v>550</v>
      </c>
      <c r="B271" s="2">
        <v>45258</v>
      </c>
      <c r="C271">
        <v>2023</v>
      </c>
      <c r="D271" t="s">
        <v>488</v>
      </c>
      <c r="E271" t="s">
        <v>519</v>
      </c>
      <c r="F271" t="s">
        <v>39</v>
      </c>
      <c r="G271" t="s">
        <v>91</v>
      </c>
      <c r="H271" t="s">
        <v>92</v>
      </c>
      <c r="I271" t="s">
        <v>31</v>
      </c>
      <c r="J271" t="s">
        <v>217</v>
      </c>
      <c r="K271" t="s">
        <v>33</v>
      </c>
      <c r="L271" t="s">
        <v>88</v>
      </c>
      <c r="M271" t="s">
        <v>100</v>
      </c>
      <c r="N271" t="s">
        <v>44</v>
      </c>
      <c r="O271" s="3">
        <v>310.43</v>
      </c>
      <c r="P271">
        <v>4</v>
      </c>
      <c r="Q271" s="4">
        <v>0.1</v>
      </c>
      <c r="R271" s="3">
        <v>1117.548</v>
      </c>
      <c r="S271" s="3">
        <v>156.07</v>
      </c>
      <c r="T271" s="3">
        <v>624.28</v>
      </c>
      <c r="U271" s="3">
        <v>493.26800000000003</v>
      </c>
      <c r="V271" s="5">
        <v>0.44138417320777273</v>
      </c>
      <c r="W271">
        <v>3</v>
      </c>
      <c r="X271" t="s">
        <v>58</v>
      </c>
      <c r="Y271" s="6">
        <v>4</v>
      </c>
    </row>
    <row r="272" spans="1:25">
      <c r="A272" t="s">
        <v>551</v>
      </c>
      <c r="B272" s="2">
        <v>45261</v>
      </c>
      <c r="C272">
        <v>2023</v>
      </c>
      <c r="D272" t="s">
        <v>488</v>
      </c>
      <c r="E272" t="s">
        <v>552</v>
      </c>
      <c r="F272" t="s">
        <v>28</v>
      </c>
      <c r="G272" t="s">
        <v>29</v>
      </c>
      <c r="H272" t="s">
        <v>60</v>
      </c>
      <c r="I272" t="s">
        <v>42</v>
      </c>
      <c r="J272" t="s">
        <v>474</v>
      </c>
      <c r="K272" t="s">
        <v>61</v>
      </c>
      <c r="L272" t="s">
        <v>62</v>
      </c>
      <c r="M272" t="s">
        <v>63</v>
      </c>
      <c r="N272" t="s">
        <v>36</v>
      </c>
      <c r="O272" s="3">
        <v>85.6</v>
      </c>
      <c r="P272">
        <v>5</v>
      </c>
      <c r="Q272" s="4">
        <v>0</v>
      </c>
      <c r="R272" s="3">
        <v>428</v>
      </c>
      <c r="S272" s="3">
        <v>45.04</v>
      </c>
      <c r="T272" s="3">
        <v>225.2</v>
      </c>
      <c r="U272" s="3">
        <v>202.8</v>
      </c>
      <c r="V272" s="5">
        <v>0.4738317757009346</v>
      </c>
      <c r="W272">
        <v>3</v>
      </c>
      <c r="X272" t="s">
        <v>58</v>
      </c>
      <c r="Y272" s="6">
        <v>3</v>
      </c>
    </row>
    <row r="273" spans="1:25">
      <c r="A273" t="s">
        <v>553</v>
      </c>
      <c r="B273" s="2">
        <v>45261</v>
      </c>
      <c r="C273">
        <v>2023</v>
      </c>
      <c r="D273" t="s">
        <v>488</v>
      </c>
      <c r="E273" t="s">
        <v>552</v>
      </c>
      <c r="F273" t="s">
        <v>39</v>
      </c>
      <c r="G273" t="s">
        <v>40</v>
      </c>
      <c r="H273" t="s">
        <v>41</v>
      </c>
      <c r="I273" t="s">
        <v>71</v>
      </c>
      <c r="J273" t="s">
        <v>554</v>
      </c>
      <c r="K273" t="s">
        <v>33</v>
      </c>
      <c r="L273" t="s">
        <v>73</v>
      </c>
      <c r="M273" t="s">
        <v>74</v>
      </c>
      <c r="N273" t="s">
        <v>57</v>
      </c>
      <c r="O273" s="3">
        <v>711.32</v>
      </c>
      <c r="P273">
        <v>5</v>
      </c>
      <c r="Q273" s="4">
        <v>0.2</v>
      </c>
      <c r="R273" s="3">
        <v>2845.2800000000007</v>
      </c>
      <c r="S273" s="3">
        <v>411.69</v>
      </c>
      <c r="T273" s="3">
        <v>2058.4499999999998</v>
      </c>
      <c r="U273" s="3">
        <v>786.83000000000084</v>
      </c>
      <c r="V273" s="5">
        <v>0.27653868863521364</v>
      </c>
      <c r="W273">
        <v>3</v>
      </c>
      <c r="X273" t="s">
        <v>37</v>
      </c>
      <c r="Y273" s="6">
        <v>5</v>
      </c>
    </row>
    <row r="274" spans="1:25">
      <c r="A274" t="s">
        <v>555</v>
      </c>
      <c r="B274" s="2">
        <v>45262</v>
      </c>
      <c r="C274">
        <v>2023</v>
      </c>
      <c r="D274" t="s">
        <v>488</v>
      </c>
      <c r="E274" t="s">
        <v>552</v>
      </c>
      <c r="F274" t="s">
        <v>28</v>
      </c>
      <c r="G274" t="s">
        <v>29</v>
      </c>
      <c r="H274" t="s">
        <v>60</v>
      </c>
      <c r="I274" t="s">
        <v>78</v>
      </c>
      <c r="J274" t="s">
        <v>556</v>
      </c>
      <c r="K274" t="s">
        <v>61</v>
      </c>
      <c r="L274" t="s">
        <v>84</v>
      </c>
      <c r="M274" t="s">
        <v>85</v>
      </c>
      <c r="N274" t="s">
        <v>44</v>
      </c>
      <c r="O274" s="3">
        <v>145.09</v>
      </c>
      <c r="P274">
        <v>2</v>
      </c>
      <c r="Q274" s="4">
        <v>0.15</v>
      </c>
      <c r="R274" s="3">
        <v>246.65299999999999</v>
      </c>
      <c r="S274" s="3">
        <v>72.959999999999994</v>
      </c>
      <c r="T274" s="3">
        <v>145.91999999999999</v>
      </c>
      <c r="U274" s="3">
        <v>100.733</v>
      </c>
      <c r="V274" s="5">
        <v>0.40839965457545624</v>
      </c>
      <c r="W274">
        <v>2</v>
      </c>
      <c r="X274" t="s">
        <v>37</v>
      </c>
      <c r="Y274" s="6">
        <v>5</v>
      </c>
    </row>
    <row r="275" spans="1:25">
      <c r="A275" t="s">
        <v>557</v>
      </c>
      <c r="B275" s="2">
        <v>45267</v>
      </c>
      <c r="C275">
        <v>2023</v>
      </c>
      <c r="D275" t="s">
        <v>488</v>
      </c>
      <c r="E275" t="s">
        <v>552</v>
      </c>
      <c r="F275" t="s">
        <v>28</v>
      </c>
      <c r="G275" t="s">
        <v>29</v>
      </c>
      <c r="H275" t="s">
        <v>60</v>
      </c>
      <c r="I275" t="s">
        <v>78</v>
      </c>
      <c r="J275" t="s">
        <v>233</v>
      </c>
      <c r="K275" t="s">
        <v>61</v>
      </c>
      <c r="L275" t="s">
        <v>80</v>
      </c>
      <c r="M275" t="s">
        <v>187</v>
      </c>
      <c r="N275" t="s">
        <v>36</v>
      </c>
      <c r="O275" s="3">
        <v>1332.09</v>
      </c>
      <c r="P275">
        <v>4</v>
      </c>
      <c r="Q275" s="4">
        <v>0</v>
      </c>
      <c r="R275" s="3">
        <v>5328.36</v>
      </c>
      <c r="S275" s="3">
        <v>867.84</v>
      </c>
      <c r="T275" s="3">
        <v>3471.36</v>
      </c>
      <c r="U275" s="3">
        <v>1856.9999999999995</v>
      </c>
      <c r="V275" s="5">
        <v>0.34851248789496198</v>
      </c>
      <c r="W275">
        <v>5</v>
      </c>
      <c r="X275" t="s">
        <v>37</v>
      </c>
      <c r="Y275" s="6">
        <v>4</v>
      </c>
    </row>
    <row r="276" spans="1:25">
      <c r="A276" t="s">
        <v>558</v>
      </c>
      <c r="B276" s="2">
        <v>45269</v>
      </c>
      <c r="C276">
        <v>2023</v>
      </c>
      <c r="D276" t="s">
        <v>488</v>
      </c>
      <c r="E276" t="s">
        <v>552</v>
      </c>
      <c r="F276" t="s">
        <v>28</v>
      </c>
      <c r="G276" t="s">
        <v>29</v>
      </c>
      <c r="H276" t="s">
        <v>106</v>
      </c>
      <c r="I276" t="s">
        <v>42</v>
      </c>
      <c r="J276" t="s">
        <v>554</v>
      </c>
      <c r="K276" t="s">
        <v>33</v>
      </c>
      <c r="L276" t="s">
        <v>34</v>
      </c>
      <c r="M276" t="s">
        <v>35</v>
      </c>
      <c r="N276" t="s">
        <v>36</v>
      </c>
      <c r="O276" s="3">
        <v>183.68</v>
      </c>
      <c r="P276">
        <v>4</v>
      </c>
      <c r="Q276" s="4">
        <v>0</v>
      </c>
      <c r="R276" s="3">
        <v>734.72</v>
      </c>
      <c r="S276" s="3">
        <v>91.11</v>
      </c>
      <c r="T276" s="3">
        <v>364.44</v>
      </c>
      <c r="U276" s="3">
        <v>370.28000000000003</v>
      </c>
      <c r="V276" s="5">
        <v>0.50397430313588854</v>
      </c>
      <c r="W276">
        <v>5</v>
      </c>
      <c r="X276" t="s">
        <v>37</v>
      </c>
      <c r="Y276" s="6">
        <v>5</v>
      </c>
    </row>
    <row r="277" spans="1:25">
      <c r="A277" t="s">
        <v>559</v>
      </c>
      <c r="B277" s="2">
        <v>45270</v>
      </c>
      <c r="C277">
        <v>2023</v>
      </c>
      <c r="D277" t="s">
        <v>488</v>
      </c>
      <c r="E277" t="s">
        <v>552</v>
      </c>
      <c r="F277" t="s">
        <v>28</v>
      </c>
      <c r="G277" t="s">
        <v>29</v>
      </c>
      <c r="H277" t="s">
        <v>106</v>
      </c>
      <c r="I277" t="s">
        <v>71</v>
      </c>
      <c r="J277" t="s">
        <v>560</v>
      </c>
      <c r="K277" t="s">
        <v>47</v>
      </c>
      <c r="L277" t="s">
        <v>55</v>
      </c>
      <c r="M277" t="s">
        <v>56</v>
      </c>
      <c r="N277" t="s">
        <v>57</v>
      </c>
      <c r="O277" s="3">
        <v>37.42</v>
      </c>
      <c r="P277">
        <v>1</v>
      </c>
      <c r="Q277" s="4">
        <v>0.05</v>
      </c>
      <c r="R277" s="3">
        <v>35.548999999999999</v>
      </c>
      <c r="S277" s="3">
        <v>17.11</v>
      </c>
      <c r="T277" s="3">
        <v>17.11</v>
      </c>
      <c r="U277" s="3">
        <v>18.439</v>
      </c>
      <c r="V277" s="5">
        <v>0.51869250893133423</v>
      </c>
      <c r="W277">
        <v>6</v>
      </c>
      <c r="X277" t="s">
        <v>37</v>
      </c>
      <c r="Y277" s="6">
        <v>4</v>
      </c>
    </row>
    <row r="278" spans="1:25">
      <c r="A278" t="s">
        <v>561</v>
      </c>
      <c r="B278" s="2">
        <v>45270</v>
      </c>
      <c r="C278">
        <v>2023</v>
      </c>
      <c r="D278" t="s">
        <v>488</v>
      </c>
      <c r="E278" t="s">
        <v>552</v>
      </c>
      <c r="F278" t="s">
        <v>28</v>
      </c>
      <c r="G278" t="s">
        <v>29</v>
      </c>
      <c r="H278" t="s">
        <v>60</v>
      </c>
      <c r="I278" t="s">
        <v>31</v>
      </c>
      <c r="J278" t="s">
        <v>562</v>
      </c>
      <c r="K278" t="s">
        <v>33</v>
      </c>
      <c r="L278" t="s">
        <v>73</v>
      </c>
      <c r="M278" t="s">
        <v>138</v>
      </c>
      <c r="N278" t="s">
        <v>44</v>
      </c>
      <c r="O278" s="3">
        <v>339.1</v>
      </c>
      <c r="P278">
        <v>4</v>
      </c>
      <c r="Q278" s="4">
        <v>0.1</v>
      </c>
      <c r="R278" s="3">
        <v>1220.7600000000002</v>
      </c>
      <c r="S278" s="3">
        <v>174.76</v>
      </c>
      <c r="T278" s="3">
        <v>699.04</v>
      </c>
      <c r="U278" s="3">
        <v>521.72000000000025</v>
      </c>
      <c r="V278" s="5">
        <v>0.42737311183197368</v>
      </c>
      <c r="W278">
        <v>7</v>
      </c>
      <c r="X278" t="s">
        <v>37</v>
      </c>
      <c r="Y278" s="6">
        <v>4</v>
      </c>
    </row>
    <row r="279" spans="1:25">
      <c r="A279" t="s">
        <v>563</v>
      </c>
      <c r="B279" s="2">
        <v>45272</v>
      </c>
      <c r="C279">
        <v>2023</v>
      </c>
      <c r="D279" t="s">
        <v>488</v>
      </c>
      <c r="E279" t="s">
        <v>552</v>
      </c>
      <c r="F279" t="s">
        <v>51</v>
      </c>
      <c r="G279" t="s">
        <v>52</v>
      </c>
      <c r="H279" t="s">
        <v>53</v>
      </c>
      <c r="I279" t="s">
        <v>42</v>
      </c>
      <c r="J279" t="s">
        <v>564</v>
      </c>
      <c r="K279" t="s">
        <v>33</v>
      </c>
      <c r="L279" t="s">
        <v>88</v>
      </c>
      <c r="M279" t="s">
        <v>100</v>
      </c>
      <c r="N279" t="s">
        <v>57</v>
      </c>
      <c r="O279" s="3">
        <v>307.25</v>
      </c>
      <c r="P279">
        <v>1</v>
      </c>
      <c r="Q279" s="4">
        <v>0</v>
      </c>
      <c r="R279" s="3">
        <v>307.25</v>
      </c>
      <c r="S279" s="3">
        <v>151.26</v>
      </c>
      <c r="T279" s="3">
        <v>151.26</v>
      </c>
      <c r="U279" s="3">
        <v>155.99</v>
      </c>
      <c r="V279" s="5">
        <v>0.50769731489015457</v>
      </c>
      <c r="W279">
        <v>1</v>
      </c>
      <c r="X279" t="s">
        <v>37</v>
      </c>
      <c r="Y279" s="6">
        <v>5</v>
      </c>
    </row>
    <row r="280" spans="1:25">
      <c r="A280" t="s">
        <v>565</v>
      </c>
      <c r="B280" s="2">
        <v>45274</v>
      </c>
      <c r="C280">
        <v>2023</v>
      </c>
      <c r="D280" t="s">
        <v>488</v>
      </c>
      <c r="E280" t="s">
        <v>552</v>
      </c>
      <c r="F280" t="s">
        <v>65</v>
      </c>
      <c r="G280" t="s">
        <v>76</v>
      </c>
      <c r="H280" t="s">
        <v>77</v>
      </c>
      <c r="I280" t="s">
        <v>42</v>
      </c>
      <c r="J280" t="s">
        <v>566</v>
      </c>
      <c r="K280" t="s">
        <v>47</v>
      </c>
      <c r="L280" t="s">
        <v>114</v>
      </c>
      <c r="M280" t="s">
        <v>120</v>
      </c>
      <c r="N280" t="s">
        <v>36</v>
      </c>
      <c r="O280" s="3">
        <v>25.13</v>
      </c>
      <c r="P280">
        <v>1</v>
      </c>
      <c r="Q280" s="4">
        <v>0.1</v>
      </c>
      <c r="R280" s="3">
        <v>22.617000000000001</v>
      </c>
      <c r="S280" s="3">
        <v>11.16</v>
      </c>
      <c r="T280" s="3">
        <v>11.16</v>
      </c>
      <c r="U280" s="3">
        <v>11.457000000000001</v>
      </c>
      <c r="V280" s="5">
        <v>0.50656585754078787</v>
      </c>
      <c r="W280">
        <v>3</v>
      </c>
      <c r="X280" t="s">
        <v>37</v>
      </c>
      <c r="Y280" s="6">
        <v>4</v>
      </c>
    </row>
    <row r="281" spans="1:25">
      <c r="A281" t="s">
        <v>567</v>
      </c>
      <c r="B281" s="2">
        <v>45276</v>
      </c>
      <c r="C281">
        <v>2023</v>
      </c>
      <c r="D281" t="s">
        <v>488</v>
      </c>
      <c r="E281" t="s">
        <v>552</v>
      </c>
      <c r="F281" t="s">
        <v>39</v>
      </c>
      <c r="G281" t="s">
        <v>40</v>
      </c>
      <c r="H281" t="s">
        <v>41</v>
      </c>
      <c r="I281" t="s">
        <v>71</v>
      </c>
      <c r="J281" t="s">
        <v>434</v>
      </c>
      <c r="K281" t="s">
        <v>47</v>
      </c>
      <c r="L281" t="s">
        <v>114</v>
      </c>
      <c r="M281" t="s">
        <v>115</v>
      </c>
      <c r="N281" t="s">
        <v>57</v>
      </c>
      <c r="O281" s="3">
        <v>17.600000000000001</v>
      </c>
      <c r="P281">
        <v>3</v>
      </c>
      <c r="Q281" s="4">
        <v>0</v>
      </c>
      <c r="R281" s="3">
        <v>52.800000000000004</v>
      </c>
      <c r="S281" s="3">
        <v>7.04</v>
      </c>
      <c r="T281" s="3">
        <v>21.12</v>
      </c>
      <c r="U281" s="3">
        <v>31.680000000000003</v>
      </c>
      <c r="V281" s="5">
        <v>0.6</v>
      </c>
      <c r="W281">
        <v>4</v>
      </c>
      <c r="X281" t="s">
        <v>37</v>
      </c>
      <c r="Y281" s="6">
        <v>5</v>
      </c>
    </row>
    <row r="282" spans="1:25">
      <c r="A282" t="s">
        <v>568</v>
      </c>
      <c r="B282" s="2">
        <v>45277</v>
      </c>
      <c r="C282">
        <v>2023</v>
      </c>
      <c r="D282" t="s">
        <v>488</v>
      </c>
      <c r="E282" t="s">
        <v>552</v>
      </c>
      <c r="F282" t="s">
        <v>51</v>
      </c>
      <c r="G282" t="s">
        <v>52</v>
      </c>
      <c r="H282" t="s">
        <v>53</v>
      </c>
      <c r="I282" t="s">
        <v>71</v>
      </c>
      <c r="J282" t="s">
        <v>569</v>
      </c>
      <c r="K282" t="s">
        <v>33</v>
      </c>
      <c r="L282" t="s">
        <v>73</v>
      </c>
      <c r="M282" t="s">
        <v>138</v>
      </c>
      <c r="N282" t="s">
        <v>44</v>
      </c>
      <c r="O282" s="3">
        <v>331.7</v>
      </c>
      <c r="P282">
        <v>2</v>
      </c>
      <c r="Q282" s="4">
        <v>0.05</v>
      </c>
      <c r="R282" s="3">
        <v>630.2299999999999</v>
      </c>
      <c r="S282" s="3">
        <v>179.73</v>
      </c>
      <c r="T282" s="3">
        <v>359.46</v>
      </c>
      <c r="U282" s="3">
        <v>270.76999999999992</v>
      </c>
      <c r="V282" s="5">
        <v>0.4296367992637608</v>
      </c>
      <c r="W282">
        <v>2</v>
      </c>
      <c r="X282" t="s">
        <v>37</v>
      </c>
      <c r="Y282" s="6">
        <v>4</v>
      </c>
    </row>
    <row r="283" spans="1:25">
      <c r="A283" t="s">
        <v>570</v>
      </c>
      <c r="B283" s="2">
        <v>45277</v>
      </c>
      <c r="C283">
        <v>2023</v>
      </c>
      <c r="D283" t="s">
        <v>488</v>
      </c>
      <c r="E283" t="s">
        <v>552</v>
      </c>
      <c r="F283" t="s">
        <v>28</v>
      </c>
      <c r="G283" t="s">
        <v>29</v>
      </c>
      <c r="H283" t="s">
        <v>60</v>
      </c>
      <c r="I283" t="s">
        <v>78</v>
      </c>
      <c r="J283" t="s">
        <v>571</v>
      </c>
      <c r="K283" t="s">
        <v>33</v>
      </c>
      <c r="L283" t="s">
        <v>88</v>
      </c>
      <c r="M283" t="s">
        <v>100</v>
      </c>
      <c r="N283" t="s">
        <v>57</v>
      </c>
      <c r="O283" s="3">
        <v>307.74</v>
      </c>
      <c r="P283">
        <v>3</v>
      </c>
      <c r="Q283" s="4">
        <v>0.15</v>
      </c>
      <c r="R283" s="3">
        <v>784.73699999999997</v>
      </c>
      <c r="S283" s="3">
        <v>154.15</v>
      </c>
      <c r="T283" s="3">
        <v>462.45000000000005</v>
      </c>
      <c r="U283" s="3">
        <v>322.28699999999992</v>
      </c>
      <c r="V283" s="5">
        <v>0.4106942835625183</v>
      </c>
      <c r="W283">
        <v>6</v>
      </c>
      <c r="X283" t="s">
        <v>37</v>
      </c>
      <c r="Y283" s="6">
        <v>4</v>
      </c>
    </row>
    <row r="284" spans="1:25">
      <c r="A284" t="s">
        <v>572</v>
      </c>
      <c r="B284" s="2">
        <v>45277</v>
      </c>
      <c r="C284">
        <v>2023</v>
      </c>
      <c r="D284" t="s">
        <v>488</v>
      </c>
      <c r="E284" t="s">
        <v>552</v>
      </c>
      <c r="F284" t="s">
        <v>39</v>
      </c>
      <c r="G284" t="s">
        <v>40</v>
      </c>
      <c r="H284" t="s">
        <v>41</v>
      </c>
      <c r="I284" t="s">
        <v>71</v>
      </c>
      <c r="J284" t="s">
        <v>99</v>
      </c>
      <c r="K284" t="s">
        <v>61</v>
      </c>
      <c r="L284" t="s">
        <v>62</v>
      </c>
      <c r="M284" t="s">
        <v>195</v>
      </c>
      <c r="N284" t="s">
        <v>36</v>
      </c>
      <c r="O284" s="3">
        <v>73.03</v>
      </c>
      <c r="P284">
        <v>1</v>
      </c>
      <c r="Q284" s="4">
        <v>0.1</v>
      </c>
      <c r="R284" s="3">
        <v>65.727000000000004</v>
      </c>
      <c r="S284" s="3">
        <v>32.340000000000003</v>
      </c>
      <c r="T284" s="3">
        <v>32.340000000000003</v>
      </c>
      <c r="U284" s="3">
        <v>33.387</v>
      </c>
      <c r="V284" s="5">
        <v>0.50796476333926699</v>
      </c>
      <c r="W284">
        <v>3</v>
      </c>
      <c r="X284" t="s">
        <v>37</v>
      </c>
      <c r="Y284" s="6">
        <v>5</v>
      </c>
    </row>
    <row r="285" spans="1:25">
      <c r="A285" t="s">
        <v>573</v>
      </c>
      <c r="B285" s="2">
        <v>45277</v>
      </c>
      <c r="C285">
        <v>2023</v>
      </c>
      <c r="D285" t="s">
        <v>488</v>
      </c>
      <c r="E285" t="s">
        <v>552</v>
      </c>
      <c r="F285" t="s">
        <v>28</v>
      </c>
      <c r="G285" t="s">
        <v>29</v>
      </c>
      <c r="H285" t="s">
        <v>30</v>
      </c>
      <c r="I285" t="s">
        <v>78</v>
      </c>
      <c r="J285" t="s">
        <v>564</v>
      </c>
      <c r="K285" t="s">
        <v>33</v>
      </c>
      <c r="L285" t="s">
        <v>34</v>
      </c>
      <c r="M285" t="s">
        <v>150</v>
      </c>
      <c r="N285" t="s">
        <v>36</v>
      </c>
      <c r="O285" s="3">
        <v>412.23</v>
      </c>
      <c r="P285">
        <v>5</v>
      </c>
      <c r="Q285" s="4">
        <v>0</v>
      </c>
      <c r="R285" s="3">
        <v>2061.15</v>
      </c>
      <c r="S285" s="3">
        <v>246.24</v>
      </c>
      <c r="T285" s="3">
        <v>1231.2</v>
      </c>
      <c r="U285" s="3">
        <v>829.95</v>
      </c>
      <c r="V285" s="5">
        <v>0.40266356160395894</v>
      </c>
      <c r="W285">
        <v>4</v>
      </c>
      <c r="X285" t="s">
        <v>37</v>
      </c>
      <c r="Y285" s="6">
        <v>5</v>
      </c>
    </row>
    <row r="286" spans="1:25">
      <c r="A286" t="s">
        <v>574</v>
      </c>
      <c r="B286" s="2">
        <v>45277</v>
      </c>
      <c r="C286">
        <v>2023</v>
      </c>
      <c r="D286" t="s">
        <v>488</v>
      </c>
      <c r="E286" t="s">
        <v>552</v>
      </c>
      <c r="F286" t="s">
        <v>65</v>
      </c>
      <c r="G286" t="s">
        <v>66</v>
      </c>
      <c r="H286" t="s">
        <v>67</v>
      </c>
      <c r="I286" t="s">
        <v>42</v>
      </c>
      <c r="J286" t="s">
        <v>246</v>
      </c>
      <c r="K286" t="s">
        <v>33</v>
      </c>
      <c r="L286" t="s">
        <v>34</v>
      </c>
      <c r="M286" t="s">
        <v>150</v>
      </c>
      <c r="N286" t="s">
        <v>36</v>
      </c>
      <c r="O286" s="3">
        <v>420.19</v>
      </c>
      <c r="P286">
        <v>4</v>
      </c>
      <c r="Q286" s="4">
        <v>0</v>
      </c>
      <c r="R286" s="3">
        <v>1680.76</v>
      </c>
      <c r="S286" s="3">
        <v>252.22</v>
      </c>
      <c r="T286" s="3">
        <v>1008.88</v>
      </c>
      <c r="U286" s="3">
        <v>671.88</v>
      </c>
      <c r="V286" s="5">
        <v>0.39974773316832862</v>
      </c>
      <c r="W286">
        <v>1</v>
      </c>
      <c r="X286" t="s">
        <v>37</v>
      </c>
      <c r="Y286" s="6">
        <v>5</v>
      </c>
    </row>
    <row r="287" spans="1:25">
      <c r="A287" t="s">
        <v>575</v>
      </c>
      <c r="B287" s="2">
        <v>45279</v>
      </c>
      <c r="C287">
        <v>2023</v>
      </c>
      <c r="D287" t="s">
        <v>488</v>
      </c>
      <c r="E287" t="s">
        <v>552</v>
      </c>
      <c r="F287" t="s">
        <v>51</v>
      </c>
      <c r="G287" t="s">
        <v>52</v>
      </c>
      <c r="H287" t="s">
        <v>102</v>
      </c>
      <c r="I287" t="s">
        <v>71</v>
      </c>
      <c r="J287" t="s">
        <v>122</v>
      </c>
      <c r="K287" t="s">
        <v>47</v>
      </c>
      <c r="L287" t="s">
        <v>55</v>
      </c>
      <c r="M287" t="s">
        <v>56</v>
      </c>
      <c r="N287" t="s">
        <v>36</v>
      </c>
      <c r="O287" s="3">
        <v>39.81</v>
      </c>
      <c r="P287">
        <v>1</v>
      </c>
      <c r="Q287" s="4">
        <v>0</v>
      </c>
      <c r="R287" s="3">
        <v>39.81</v>
      </c>
      <c r="S287" s="3">
        <v>17.37</v>
      </c>
      <c r="T287" s="3">
        <v>17.37</v>
      </c>
      <c r="U287" s="3">
        <v>22.44</v>
      </c>
      <c r="V287" s="5">
        <v>0.5636774679728711</v>
      </c>
      <c r="W287">
        <v>6</v>
      </c>
      <c r="X287" t="s">
        <v>37</v>
      </c>
      <c r="Y287" s="6">
        <v>4</v>
      </c>
    </row>
    <row r="288" spans="1:25">
      <c r="A288" t="s">
        <v>576</v>
      </c>
      <c r="B288" s="2">
        <v>45279</v>
      </c>
      <c r="C288">
        <v>2023</v>
      </c>
      <c r="D288" t="s">
        <v>488</v>
      </c>
      <c r="E288" t="s">
        <v>552</v>
      </c>
      <c r="F288" t="s">
        <v>39</v>
      </c>
      <c r="G288" t="s">
        <v>91</v>
      </c>
      <c r="H288" t="s">
        <v>92</v>
      </c>
      <c r="I288" t="s">
        <v>78</v>
      </c>
      <c r="J288" t="s">
        <v>387</v>
      </c>
      <c r="K288" t="s">
        <v>33</v>
      </c>
      <c r="L288" t="s">
        <v>88</v>
      </c>
      <c r="M288" t="s">
        <v>89</v>
      </c>
      <c r="N288" t="s">
        <v>44</v>
      </c>
      <c r="O288" s="3">
        <v>258.85000000000002</v>
      </c>
      <c r="P288">
        <v>5</v>
      </c>
      <c r="Q288" s="4">
        <v>0.05</v>
      </c>
      <c r="R288" s="3">
        <v>1229.5374999999999</v>
      </c>
      <c r="S288" s="3">
        <v>130.65</v>
      </c>
      <c r="T288" s="3">
        <v>653.25</v>
      </c>
      <c r="U288" s="3">
        <v>576.28749999999991</v>
      </c>
      <c r="V288" s="5">
        <v>0.46870266258654164</v>
      </c>
      <c r="W288">
        <v>6</v>
      </c>
      <c r="X288" t="s">
        <v>37</v>
      </c>
      <c r="Y288" s="6">
        <v>4</v>
      </c>
    </row>
    <row r="289" spans="1:25">
      <c r="A289" t="s">
        <v>577</v>
      </c>
      <c r="B289" s="2">
        <v>45279</v>
      </c>
      <c r="C289">
        <v>2023</v>
      </c>
      <c r="D289" t="s">
        <v>488</v>
      </c>
      <c r="E289" t="s">
        <v>552</v>
      </c>
      <c r="F289" t="s">
        <v>51</v>
      </c>
      <c r="G289" t="s">
        <v>97</v>
      </c>
      <c r="H289" t="s">
        <v>98</v>
      </c>
      <c r="I289" t="s">
        <v>71</v>
      </c>
      <c r="J289" t="s">
        <v>235</v>
      </c>
      <c r="K289" t="s">
        <v>61</v>
      </c>
      <c r="L289" t="s">
        <v>84</v>
      </c>
      <c r="M289" t="s">
        <v>85</v>
      </c>
      <c r="N289" t="s">
        <v>36</v>
      </c>
      <c r="O289" s="3">
        <v>149.75</v>
      </c>
      <c r="P289">
        <v>2</v>
      </c>
      <c r="Q289" s="4">
        <v>0</v>
      </c>
      <c r="R289" s="3">
        <v>299.5</v>
      </c>
      <c r="S289" s="3">
        <v>74.12</v>
      </c>
      <c r="T289" s="3">
        <v>148.24</v>
      </c>
      <c r="U289" s="3">
        <v>151.26</v>
      </c>
      <c r="V289" s="5">
        <v>0.50504173622704507</v>
      </c>
      <c r="W289">
        <v>10</v>
      </c>
      <c r="X289" t="s">
        <v>37</v>
      </c>
      <c r="Y289" s="6">
        <v>4</v>
      </c>
    </row>
    <row r="290" spans="1:25">
      <c r="A290" t="s">
        <v>578</v>
      </c>
      <c r="B290" s="2">
        <v>45279</v>
      </c>
      <c r="C290">
        <v>2023</v>
      </c>
      <c r="D290" t="s">
        <v>488</v>
      </c>
      <c r="E290" t="s">
        <v>552</v>
      </c>
      <c r="F290" t="s">
        <v>28</v>
      </c>
      <c r="G290" t="s">
        <v>29</v>
      </c>
      <c r="H290" t="s">
        <v>60</v>
      </c>
      <c r="I290" t="s">
        <v>42</v>
      </c>
      <c r="J290" t="s">
        <v>161</v>
      </c>
      <c r="K290" t="s">
        <v>61</v>
      </c>
      <c r="L290" t="s">
        <v>62</v>
      </c>
      <c r="M290" t="s">
        <v>195</v>
      </c>
      <c r="N290" t="s">
        <v>36</v>
      </c>
      <c r="O290" s="3">
        <v>75.95</v>
      </c>
      <c r="P290">
        <v>5</v>
      </c>
      <c r="Q290" s="4">
        <v>0.15</v>
      </c>
      <c r="R290" s="3">
        <v>322.78749999999997</v>
      </c>
      <c r="S290" s="3">
        <v>32.15</v>
      </c>
      <c r="T290" s="3">
        <v>160.75</v>
      </c>
      <c r="U290" s="3">
        <v>162.03749999999997</v>
      </c>
      <c r="V290" s="5">
        <v>0.50199434612554694</v>
      </c>
      <c r="W290">
        <v>1</v>
      </c>
      <c r="X290" t="s">
        <v>37</v>
      </c>
      <c r="Y290" s="6">
        <v>5</v>
      </c>
    </row>
    <row r="291" spans="1:25">
      <c r="A291" t="s">
        <v>579</v>
      </c>
      <c r="B291" s="2">
        <v>45280</v>
      </c>
      <c r="C291">
        <v>2023</v>
      </c>
      <c r="D291" t="s">
        <v>488</v>
      </c>
      <c r="E291" t="s">
        <v>552</v>
      </c>
      <c r="F291" t="s">
        <v>39</v>
      </c>
      <c r="G291" t="s">
        <v>111</v>
      </c>
      <c r="H291" t="s">
        <v>112</v>
      </c>
      <c r="I291" t="s">
        <v>42</v>
      </c>
      <c r="J291" t="s">
        <v>375</v>
      </c>
      <c r="K291" t="s">
        <v>61</v>
      </c>
      <c r="L291" t="s">
        <v>84</v>
      </c>
      <c r="M291" t="s">
        <v>135</v>
      </c>
      <c r="N291" t="s">
        <v>57</v>
      </c>
      <c r="O291" s="3">
        <v>901.44</v>
      </c>
      <c r="P291">
        <v>2</v>
      </c>
      <c r="Q291" s="4">
        <v>0.15</v>
      </c>
      <c r="R291" s="3">
        <v>1532.4480000000001</v>
      </c>
      <c r="S291" s="3">
        <v>573.14</v>
      </c>
      <c r="T291" s="3">
        <v>1146.28</v>
      </c>
      <c r="U291" s="3">
        <v>386.16800000000012</v>
      </c>
      <c r="V291" s="5">
        <v>0.25199419490906061</v>
      </c>
      <c r="W291">
        <v>2</v>
      </c>
      <c r="X291" t="s">
        <v>37</v>
      </c>
      <c r="Y291" s="6">
        <v>5</v>
      </c>
    </row>
    <row r="292" spans="1:25">
      <c r="A292" t="s">
        <v>580</v>
      </c>
      <c r="B292" s="2">
        <v>45281</v>
      </c>
      <c r="C292">
        <v>2023</v>
      </c>
      <c r="D292" t="s">
        <v>488</v>
      </c>
      <c r="E292" t="s">
        <v>552</v>
      </c>
      <c r="F292" t="s">
        <v>65</v>
      </c>
      <c r="G292" t="s">
        <v>76</v>
      </c>
      <c r="H292" t="s">
        <v>126</v>
      </c>
      <c r="I292" t="s">
        <v>42</v>
      </c>
      <c r="J292" t="s">
        <v>569</v>
      </c>
      <c r="K292" t="s">
        <v>33</v>
      </c>
      <c r="L292" t="s">
        <v>88</v>
      </c>
      <c r="M292" t="s">
        <v>100</v>
      </c>
      <c r="N292" t="s">
        <v>36</v>
      </c>
      <c r="O292" s="3">
        <v>294.89999999999998</v>
      </c>
      <c r="P292">
        <v>2</v>
      </c>
      <c r="Q292" s="4">
        <v>0</v>
      </c>
      <c r="R292" s="3">
        <v>589.79999999999995</v>
      </c>
      <c r="S292" s="3">
        <v>157.63999999999999</v>
      </c>
      <c r="T292" s="3">
        <v>315.27999999999997</v>
      </c>
      <c r="U292" s="3">
        <v>274.52</v>
      </c>
      <c r="V292" s="5">
        <v>0.46544591386910816</v>
      </c>
      <c r="W292">
        <v>6</v>
      </c>
      <c r="X292" t="s">
        <v>37</v>
      </c>
      <c r="Y292" s="6">
        <v>4</v>
      </c>
    </row>
    <row r="293" spans="1:25">
      <c r="A293" t="s">
        <v>581</v>
      </c>
      <c r="B293" s="2">
        <v>45282</v>
      </c>
      <c r="C293">
        <v>2023</v>
      </c>
      <c r="D293" t="s">
        <v>488</v>
      </c>
      <c r="E293" t="s">
        <v>552</v>
      </c>
      <c r="F293" t="s">
        <v>39</v>
      </c>
      <c r="G293" t="s">
        <v>91</v>
      </c>
      <c r="H293" t="s">
        <v>92</v>
      </c>
      <c r="I293" t="s">
        <v>78</v>
      </c>
      <c r="J293" t="s">
        <v>117</v>
      </c>
      <c r="K293" t="s">
        <v>33</v>
      </c>
      <c r="L293" t="s">
        <v>73</v>
      </c>
      <c r="M293" t="s">
        <v>74</v>
      </c>
      <c r="N293" t="s">
        <v>44</v>
      </c>
      <c r="O293" s="3">
        <v>686.33</v>
      </c>
      <c r="P293">
        <v>5</v>
      </c>
      <c r="Q293" s="4">
        <v>0.2</v>
      </c>
      <c r="R293" s="3">
        <v>2745.32</v>
      </c>
      <c r="S293" s="3">
        <v>432.38</v>
      </c>
      <c r="T293" s="3">
        <v>2161.9</v>
      </c>
      <c r="U293" s="3">
        <v>583.42000000000007</v>
      </c>
      <c r="V293" s="5">
        <v>0.21251438812233184</v>
      </c>
      <c r="W293">
        <v>1</v>
      </c>
      <c r="X293" t="s">
        <v>37</v>
      </c>
      <c r="Y293" s="6">
        <v>5</v>
      </c>
    </row>
    <row r="294" spans="1:25">
      <c r="A294" t="s">
        <v>582</v>
      </c>
      <c r="B294" s="2">
        <v>45282</v>
      </c>
      <c r="C294">
        <v>2023</v>
      </c>
      <c r="D294" t="s">
        <v>488</v>
      </c>
      <c r="E294" t="s">
        <v>552</v>
      </c>
      <c r="F294" t="s">
        <v>28</v>
      </c>
      <c r="G294" t="s">
        <v>29</v>
      </c>
      <c r="H294" t="s">
        <v>30</v>
      </c>
      <c r="I294" t="s">
        <v>31</v>
      </c>
      <c r="J294" t="s">
        <v>583</v>
      </c>
      <c r="K294" t="s">
        <v>61</v>
      </c>
      <c r="L294" t="s">
        <v>62</v>
      </c>
      <c r="M294" t="s">
        <v>63</v>
      </c>
      <c r="N294" t="s">
        <v>44</v>
      </c>
      <c r="O294" s="3">
        <v>86.35</v>
      </c>
      <c r="P294">
        <v>4</v>
      </c>
      <c r="Q294" s="4">
        <v>0.05</v>
      </c>
      <c r="R294" s="3">
        <v>328.12999999999994</v>
      </c>
      <c r="S294" s="3">
        <v>42.76</v>
      </c>
      <c r="T294" s="3">
        <v>171.04</v>
      </c>
      <c r="U294" s="3">
        <v>157.08999999999995</v>
      </c>
      <c r="V294" s="5">
        <v>0.4787431810562886</v>
      </c>
      <c r="W294">
        <v>7</v>
      </c>
      <c r="X294" t="s">
        <v>37</v>
      </c>
      <c r="Y294" s="6">
        <v>4</v>
      </c>
    </row>
    <row r="295" spans="1:25">
      <c r="A295" t="s">
        <v>584</v>
      </c>
      <c r="B295" s="2">
        <v>45283</v>
      </c>
      <c r="C295">
        <v>2023</v>
      </c>
      <c r="D295" t="s">
        <v>488</v>
      </c>
      <c r="E295" t="s">
        <v>552</v>
      </c>
      <c r="F295" t="s">
        <v>51</v>
      </c>
      <c r="G295" t="s">
        <v>52</v>
      </c>
      <c r="H295" t="s">
        <v>102</v>
      </c>
      <c r="I295" t="s">
        <v>42</v>
      </c>
      <c r="J295" t="s">
        <v>562</v>
      </c>
      <c r="K295" t="s">
        <v>33</v>
      </c>
      <c r="L295" t="s">
        <v>73</v>
      </c>
      <c r="M295" t="s">
        <v>138</v>
      </c>
      <c r="N295" t="s">
        <v>36</v>
      </c>
      <c r="O295" s="3">
        <v>318.8</v>
      </c>
      <c r="P295">
        <v>1</v>
      </c>
      <c r="Q295" s="4">
        <v>0</v>
      </c>
      <c r="R295" s="3">
        <v>318.8</v>
      </c>
      <c r="S295" s="3">
        <v>174.16</v>
      </c>
      <c r="T295" s="3">
        <v>174.16</v>
      </c>
      <c r="U295" s="3">
        <v>144.64000000000001</v>
      </c>
      <c r="V295" s="5">
        <v>0.45370138017565875</v>
      </c>
      <c r="W295">
        <v>6</v>
      </c>
      <c r="X295" t="s">
        <v>37</v>
      </c>
      <c r="Y295" s="6">
        <v>4</v>
      </c>
    </row>
    <row r="296" spans="1:25">
      <c r="A296" t="s">
        <v>585</v>
      </c>
      <c r="B296" s="2">
        <v>45286</v>
      </c>
      <c r="C296">
        <v>2023</v>
      </c>
      <c r="D296" t="s">
        <v>488</v>
      </c>
      <c r="E296" t="s">
        <v>552</v>
      </c>
      <c r="F296" t="s">
        <v>28</v>
      </c>
      <c r="G296" t="s">
        <v>29</v>
      </c>
      <c r="H296" t="s">
        <v>60</v>
      </c>
      <c r="I296" t="s">
        <v>78</v>
      </c>
      <c r="J296" t="s">
        <v>586</v>
      </c>
      <c r="K296" t="s">
        <v>47</v>
      </c>
      <c r="L296" t="s">
        <v>48</v>
      </c>
      <c r="M296" t="s">
        <v>49</v>
      </c>
      <c r="N296" t="s">
        <v>57</v>
      </c>
      <c r="O296" s="3">
        <v>32.9</v>
      </c>
      <c r="P296">
        <v>11</v>
      </c>
      <c r="Q296" s="4">
        <v>0.1</v>
      </c>
      <c r="R296" s="3">
        <v>325.70999999999998</v>
      </c>
      <c r="S296" s="3">
        <v>13.83</v>
      </c>
      <c r="T296" s="3">
        <v>152.13</v>
      </c>
      <c r="U296" s="3">
        <v>173.57999999999998</v>
      </c>
      <c r="V296" s="5">
        <v>0.5329280648429584</v>
      </c>
      <c r="W296">
        <v>2</v>
      </c>
      <c r="X296" t="s">
        <v>37</v>
      </c>
      <c r="Y296" s="6">
        <v>5</v>
      </c>
    </row>
    <row r="297" spans="1:25">
      <c r="A297" t="s">
        <v>587</v>
      </c>
      <c r="B297" s="2">
        <v>45286</v>
      </c>
      <c r="C297">
        <v>2023</v>
      </c>
      <c r="D297" t="s">
        <v>488</v>
      </c>
      <c r="E297" t="s">
        <v>552</v>
      </c>
      <c r="F297" t="s">
        <v>28</v>
      </c>
      <c r="G297" t="s">
        <v>29</v>
      </c>
      <c r="H297" t="s">
        <v>60</v>
      </c>
      <c r="I297" t="s">
        <v>31</v>
      </c>
      <c r="J297" t="s">
        <v>588</v>
      </c>
      <c r="K297" t="s">
        <v>33</v>
      </c>
      <c r="L297" t="s">
        <v>88</v>
      </c>
      <c r="M297" t="s">
        <v>89</v>
      </c>
      <c r="N297" t="s">
        <v>44</v>
      </c>
      <c r="O297" s="3">
        <v>237.03</v>
      </c>
      <c r="P297">
        <v>2</v>
      </c>
      <c r="Q297" s="4">
        <v>0.2</v>
      </c>
      <c r="R297" s="3">
        <v>379.24800000000005</v>
      </c>
      <c r="S297" s="3">
        <v>133.34</v>
      </c>
      <c r="T297" s="3">
        <v>266.68</v>
      </c>
      <c r="U297" s="3">
        <v>112.56800000000004</v>
      </c>
      <c r="V297" s="5">
        <v>0.29681896806311442</v>
      </c>
      <c r="W297">
        <v>7</v>
      </c>
      <c r="X297" t="s">
        <v>37</v>
      </c>
      <c r="Y297" s="6">
        <v>4</v>
      </c>
    </row>
    <row r="298" spans="1:25">
      <c r="A298" t="s">
        <v>589</v>
      </c>
      <c r="B298" s="2">
        <v>45286</v>
      </c>
      <c r="C298">
        <v>2023</v>
      </c>
      <c r="D298" t="s">
        <v>488</v>
      </c>
      <c r="E298" t="s">
        <v>552</v>
      </c>
      <c r="F298" t="s">
        <v>28</v>
      </c>
      <c r="G298" t="s">
        <v>29</v>
      </c>
      <c r="H298" t="s">
        <v>30</v>
      </c>
      <c r="I298" t="s">
        <v>42</v>
      </c>
      <c r="J298" t="s">
        <v>590</v>
      </c>
      <c r="K298" t="s">
        <v>47</v>
      </c>
      <c r="L298" t="s">
        <v>48</v>
      </c>
      <c r="M298" t="s">
        <v>104</v>
      </c>
      <c r="N298" t="s">
        <v>57</v>
      </c>
      <c r="O298" s="3">
        <v>55.47</v>
      </c>
      <c r="P298">
        <v>12</v>
      </c>
      <c r="Q298" s="4">
        <v>0</v>
      </c>
      <c r="R298" s="3">
        <v>665.64</v>
      </c>
      <c r="S298" s="3">
        <v>31.36</v>
      </c>
      <c r="T298" s="3">
        <v>376.32</v>
      </c>
      <c r="U298" s="3">
        <v>289.32</v>
      </c>
      <c r="V298" s="5">
        <v>0.43464936001442223</v>
      </c>
      <c r="W298">
        <v>3</v>
      </c>
      <c r="X298" t="s">
        <v>37</v>
      </c>
      <c r="Y298" s="6">
        <v>4</v>
      </c>
    </row>
    <row r="299" spans="1:25">
      <c r="A299" t="s">
        <v>591</v>
      </c>
      <c r="B299" s="2">
        <v>45290</v>
      </c>
      <c r="C299">
        <v>2023</v>
      </c>
      <c r="D299" t="s">
        <v>488</v>
      </c>
      <c r="E299" t="s">
        <v>552</v>
      </c>
      <c r="F299" t="s">
        <v>39</v>
      </c>
      <c r="G299" t="s">
        <v>40</v>
      </c>
      <c r="H299" t="s">
        <v>41</v>
      </c>
      <c r="I299" t="s">
        <v>31</v>
      </c>
      <c r="J299" t="s">
        <v>592</v>
      </c>
      <c r="K299" t="s">
        <v>47</v>
      </c>
      <c r="L299" t="s">
        <v>55</v>
      </c>
      <c r="M299" t="s">
        <v>56</v>
      </c>
      <c r="N299" t="s">
        <v>57</v>
      </c>
      <c r="O299" s="3">
        <v>39.76</v>
      </c>
      <c r="P299">
        <v>8</v>
      </c>
      <c r="Q299" s="4">
        <v>0.2</v>
      </c>
      <c r="R299" s="3">
        <v>254.464</v>
      </c>
      <c r="S299" s="3">
        <v>16.75</v>
      </c>
      <c r="T299" s="3">
        <v>134</v>
      </c>
      <c r="U299" s="3">
        <v>120.464</v>
      </c>
      <c r="V299" s="5">
        <v>0.47340291750503016</v>
      </c>
      <c r="W299">
        <v>2</v>
      </c>
      <c r="X299" t="s">
        <v>37</v>
      </c>
      <c r="Y299" s="6">
        <v>4</v>
      </c>
    </row>
    <row r="300" spans="1:25">
      <c r="A300" t="s">
        <v>593</v>
      </c>
      <c r="B300" s="2">
        <v>45292</v>
      </c>
      <c r="C300">
        <v>2024</v>
      </c>
      <c r="D300" t="s">
        <v>26</v>
      </c>
      <c r="E300" t="s">
        <v>27</v>
      </c>
      <c r="F300" t="s">
        <v>28</v>
      </c>
      <c r="G300" t="s">
        <v>29</v>
      </c>
      <c r="H300" t="s">
        <v>30</v>
      </c>
      <c r="I300" t="s">
        <v>31</v>
      </c>
      <c r="J300" t="s">
        <v>594</v>
      </c>
      <c r="K300" t="s">
        <v>47</v>
      </c>
      <c r="L300" t="s">
        <v>48</v>
      </c>
      <c r="M300" t="s">
        <v>104</v>
      </c>
      <c r="N300" t="s">
        <v>36</v>
      </c>
      <c r="O300" s="3">
        <v>56.03</v>
      </c>
      <c r="P300">
        <v>2</v>
      </c>
      <c r="Q300" s="4">
        <v>0</v>
      </c>
      <c r="R300" s="3">
        <v>112.06</v>
      </c>
      <c r="S300" s="3">
        <v>31.32</v>
      </c>
      <c r="T300" s="3">
        <v>62.64</v>
      </c>
      <c r="U300" s="3">
        <v>49.42</v>
      </c>
      <c r="V300" s="5">
        <v>0.44101374263787257</v>
      </c>
      <c r="W300">
        <v>6</v>
      </c>
      <c r="X300" t="s">
        <v>37</v>
      </c>
      <c r="Y300" s="6">
        <v>4</v>
      </c>
    </row>
    <row r="301" spans="1:25">
      <c r="A301" t="s">
        <v>595</v>
      </c>
      <c r="B301" s="2">
        <v>45292</v>
      </c>
      <c r="C301">
        <v>2024</v>
      </c>
      <c r="D301" t="s">
        <v>26</v>
      </c>
      <c r="E301" t="s">
        <v>27</v>
      </c>
      <c r="F301" t="s">
        <v>39</v>
      </c>
      <c r="G301" t="s">
        <v>111</v>
      </c>
      <c r="H301" t="s">
        <v>112</v>
      </c>
      <c r="I301" t="s">
        <v>31</v>
      </c>
      <c r="J301" t="s">
        <v>199</v>
      </c>
      <c r="K301" t="s">
        <v>47</v>
      </c>
      <c r="L301" t="s">
        <v>48</v>
      </c>
      <c r="M301" t="s">
        <v>49</v>
      </c>
      <c r="N301" t="s">
        <v>44</v>
      </c>
      <c r="O301" s="3">
        <v>32.18</v>
      </c>
      <c r="P301">
        <v>7</v>
      </c>
      <c r="Q301" s="4">
        <v>0</v>
      </c>
      <c r="R301" s="3">
        <v>225.26</v>
      </c>
      <c r="S301" s="3">
        <v>14.09</v>
      </c>
      <c r="T301" s="3">
        <v>98.63</v>
      </c>
      <c r="U301" s="3">
        <v>126.63</v>
      </c>
      <c r="V301" s="5">
        <v>0.56215040397762583</v>
      </c>
      <c r="W301">
        <v>7</v>
      </c>
      <c r="X301" t="s">
        <v>37</v>
      </c>
      <c r="Y301" s="6">
        <v>4</v>
      </c>
    </row>
    <row r="302" spans="1:25">
      <c r="A302" t="s">
        <v>596</v>
      </c>
      <c r="B302" s="2">
        <v>45294</v>
      </c>
      <c r="C302">
        <v>2024</v>
      </c>
      <c r="D302" t="s">
        <v>26</v>
      </c>
      <c r="E302" t="s">
        <v>27</v>
      </c>
      <c r="F302" t="s">
        <v>51</v>
      </c>
      <c r="G302" t="s">
        <v>97</v>
      </c>
      <c r="H302" t="s">
        <v>98</v>
      </c>
      <c r="I302" t="s">
        <v>42</v>
      </c>
      <c r="J302" t="s">
        <v>256</v>
      </c>
      <c r="K302" t="s">
        <v>47</v>
      </c>
      <c r="L302" t="s">
        <v>48</v>
      </c>
      <c r="M302" t="s">
        <v>104</v>
      </c>
      <c r="N302" t="s">
        <v>57</v>
      </c>
      <c r="O302" s="3">
        <v>54.71</v>
      </c>
      <c r="P302">
        <v>8</v>
      </c>
      <c r="Q302" s="4">
        <v>0</v>
      </c>
      <c r="R302" s="3">
        <v>437.68</v>
      </c>
      <c r="S302" s="3">
        <v>31.84</v>
      </c>
      <c r="T302" s="3">
        <v>254.72</v>
      </c>
      <c r="U302" s="3">
        <v>182.96</v>
      </c>
      <c r="V302" s="5">
        <v>0.41802229939681962</v>
      </c>
      <c r="W302">
        <v>10</v>
      </c>
      <c r="X302" t="s">
        <v>37</v>
      </c>
      <c r="Y302" s="6">
        <v>3</v>
      </c>
    </row>
    <row r="303" spans="1:25">
      <c r="A303" t="s">
        <v>597</v>
      </c>
      <c r="B303" s="2">
        <v>45295</v>
      </c>
      <c r="C303">
        <v>2024</v>
      </c>
      <c r="D303" t="s">
        <v>26</v>
      </c>
      <c r="E303" t="s">
        <v>27</v>
      </c>
      <c r="F303" t="s">
        <v>39</v>
      </c>
      <c r="G303" t="s">
        <v>40</v>
      </c>
      <c r="H303" t="s">
        <v>41</v>
      </c>
      <c r="I303" t="s">
        <v>78</v>
      </c>
      <c r="J303" t="s">
        <v>598</v>
      </c>
      <c r="K303" t="s">
        <v>33</v>
      </c>
      <c r="L303" t="s">
        <v>73</v>
      </c>
      <c r="M303" t="s">
        <v>138</v>
      </c>
      <c r="N303" t="s">
        <v>57</v>
      </c>
      <c r="O303" s="3">
        <v>343.43</v>
      </c>
      <c r="P303">
        <v>2</v>
      </c>
      <c r="Q303" s="4">
        <v>0.05</v>
      </c>
      <c r="R303" s="3">
        <v>652.51699999999994</v>
      </c>
      <c r="S303" s="3">
        <v>176.6</v>
      </c>
      <c r="T303" s="3">
        <v>353.2</v>
      </c>
      <c r="U303" s="3">
        <v>299.31699999999995</v>
      </c>
      <c r="V303" s="5">
        <v>0.45871142054536507</v>
      </c>
      <c r="W303">
        <v>3</v>
      </c>
      <c r="X303" t="s">
        <v>37</v>
      </c>
      <c r="Y303" s="6">
        <v>5</v>
      </c>
    </row>
    <row r="304" spans="1:25">
      <c r="A304" t="s">
        <v>599</v>
      </c>
      <c r="B304" s="2">
        <v>45296</v>
      </c>
      <c r="C304">
        <v>2024</v>
      </c>
      <c r="D304" t="s">
        <v>26</v>
      </c>
      <c r="E304" t="s">
        <v>27</v>
      </c>
      <c r="F304" t="s">
        <v>65</v>
      </c>
      <c r="G304" t="s">
        <v>66</v>
      </c>
      <c r="H304" t="s">
        <v>67</v>
      </c>
      <c r="I304" t="s">
        <v>42</v>
      </c>
      <c r="J304" t="s">
        <v>600</v>
      </c>
      <c r="K304" t="s">
        <v>33</v>
      </c>
      <c r="L304" t="s">
        <v>73</v>
      </c>
      <c r="M304" t="s">
        <v>74</v>
      </c>
      <c r="N304" t="s">
        <v>36</v>
      </c>
      <c r="O304" s="3">
        <v>723.04</v>
      </c>
      <c r="P304">
        <v>1</v>
      </c>
      <c r="Q304" s="4">
        <v>0</v>
      </c>
      <c r="R304" s="3">
        <v>723.04</v>
      </c>
      <c r="S304" s="3">
        <v>412.4</v>
      </c>
      <c r="T304" s="3">
        <v>412.4</v>
      </c>
      <c r="U304" s="3">
        <v>310.64</v>
      </c>
      <c r="V304" s="5">
        <v>0.429630449214428</v>
      </c>
      <c r="W304">
        <v>1</v>
      </c>
      <c r="X304" t="s">
        <v>37</v>
      </c>
      <c r="Y304" s="6">
        <v>5</v>
      </c>
    </row>
    <row r="305" spans="1:25">
      <c r="A305" t="s">
        <v>601</v>
      </c>
      <c r="B305" s="2">
        <v>45297</v>
      </c>
      <c r="C305">
        <v>2024</v>
      </c>
      <c r="D305" t="s">
        <v>26</v>
      </c>
      <c r="E305" t="s">
        <v>27</v>
      </c>
      <c r="F305" t="s">
        <v>28</v>
      </c>
      <c r="G305" t="s">
        <v>29</v>
      </c>
      <c r="H305" t="s">
        <v>60</v>
      </c>
      <c r="I305" t="s">
        <v>31</v>
      </c>
      <c r="J305" t="s">
        <v>129</v>
      </c>
      <c r="K305" t="s">
        <v>33</v>
      </c>
      <c r="L305" t="s">
        <v>34</v>
      </c>
      <c r="M305" t="s">
        <v>35</v>
      </c>
      <c r="N305" t="s">
        <v>44</v>
      </c>
      <c r="O305" s="3">
        <v>179.86</v>
      </c>
      <c r="P305">
        <v>4</v>
      </c>
      <c r="Q305" s="4">
        <v>0</v>
      </c>
      <c r="R305" s="3">
        <v>719.44</v>
      </c>
      <c r="S305" s="3">
        <v>89.57</v>
      </c>
      <c r="T305" s="3">
        <v>358.28</v>
      </c>
      <c r="U305" s="3">
        <v>361.16000000000008</v>
      </c>
      <c r="V305" s="5">
        <v>0.50200155676637392</v>
      </c>
      <c r="W305">
        <v>3</v>
      </c>
      <c r="X305" t="s">
        <v>37</v>
      </c>
      <c r="Y305" s="6">
        <v>4</v>
      </c>
    </row>
    <row r="306" spans="1:25">
      <c r="A306" t="s">
        <v>602</v>
      </c>
      <c r="B306" s="2">
        <v>45298</v>
      </c>
      <c r="C306">
        <v>2024</v>
      </c>
      <c r="D306" t="s">
        <v>26</v>
      </c>
      <c r="E306" t="s">
        <v>27</v>
      </c>
      <c r="F306" t="s">
        <v>51</v>
      </c>
      <c r="G306" t="s">
        <v>52</v>
      </c>
      <c r="H306" t="s">
        <v>53</v>
      </c>
      <c r="I306" t="s">
        <v>31</v>
      </c>
      <c r="J306" t="s">
        <v>352</v>
      </c>
      <c r="K306" t="s">
        <v>61</v>
      </c>
      <c r="L306" t="s">
        <v>62</v>
      </c>
      <c r="M306" t="s">
        <v>63</v>
      </c>
      <c r="N306" t="s">
        <v>44</v>
      </c>
      <c r="O306" s="3">
        <v>91.2</v>
      </c>
      <c r="P306">
        <v>2</v>
      </c>
      <c r="Q306" s="4">
        <v>0.05</v>
      </c>
      <c r="R306" s="3">
        <v>173.28</v>
      </c>
      <c r="S306" s="3">
        <v>43.63</v>
      </c>
      <c r="T306" s="3">
        <v>87.26</v>
      </c>
      <c r="U306" s="3">
        <v>86.02</v>
      </c>
      <c r="V306" s="5">
        <v>0.49642197599261306</v>
      </c>
      <c r="W306">
        <v>10</v>
      </c>
      <c r="X306" t="s">
        <v>37</v>
      </c>
      <c r="Y306" s="6">
        <v>4</v>
      </c>
    </row>
    <row r="307" spans="1:25">
      <c r="A307" t="s">
        <v>603</v>
      </c>
      <c r="B307" s="2">
        <v>45301</v>
      </c>
      <c r="C307">
        <v>2024</v>
      </c>
      <c r="D307" t="s">
        <v>26</v>
      </c>
      <c r="E307" t="s">
        <v>27</v>
      </c>
      <c r="F307" t="s">
        <v>39</v>
      </c>
      <c r="G307" t="s">
        <v>111</v>
      </c>
      <c r="H307" t="s">
        <v>112</v>
      </c>
      <c r="I307" t="s">
        <v>42</v>
      </c>
      <c r="J307" t="s">
        <v>604</v>
      </c>
      <c r="K307" t="s">
        <v>47</v>
      </c>
      <c r="L307" t="s">
        <v>48</v>
      </c>
      <c r="M307" t="s">
        <v>49</v>
      </c>
      <c r="N307" t="s">
        <v>57</v>
      </c>
      <c r="O307" s="3">
        <v>33.1</v>
      </c>
      <c r="P307">
        <v>12</v>
      </c>
      <c r="Q307" s="4">
        <v>0</v>
      </c>
      <c r="R307" s="3">
        <v>397.20000000000005</v>
      </c>
      <c r="S307" s="3">
        <v>14.36</v>
      </c>
      <c r="T307" s="3">
        <v>172.32</v>
      </c>
      <c r="U307" s="3">
        <v>224.88000000000005</v>
      </c>
      <c r="V307" s="5">
        <v>0.56616314199395779</v>
      </c>
      <c r="W307">
        <v>3</v>
      </c>
      <c r="X307" t="s">
        <v>58</v>
      </c>
      <c r="Y307" s="6">
        <v>4</v>
      </c>
    </row>
    <row r="308" spans="1:25">
      <c r="A308" t="s">
        <v>605</v>
      </c>
      <c r="B308" s="2">
        <v>45302</v>
      </c>
      <c r="C308">
        <v>2024</v>
      </c>
      <c r="D308" t="s">
        <v>26</v>
      </c>
      <c r="E308" t="s">
        <v>27</v>
      </c>
      <c r="F308" t="s">
        <v>51</v>
      </c>
      <c r="G308" t="s">
        <v>97</v>
      </c>
      <c r="H308" t="s">
        <v>98</v>
      </c>
      <c r="I308" t="s">
        <v>31</v>
      </c>
      <c r="J308" t="s">
        <v>606</v>
      </c>
      <c r="K308" t="s">
        <v>33</v>
      </c>
      <c r="L308" t="s">
        <v>34</v>
      </c>
      <c r="M308" t="s">
        <v>150</v>
      </c>
      <c r="N308" t="s">
        <v>36</v>
      </c>
      <c r="O308" s="3">
        <v>434.36</v>
      </c>
      <c r="P308">
        <v>4</v>
      </c>
      <c r="Q308" s="4">
        <v>0.2</v>
      </c>
      <c r="R308" s="3">
        <v>1389.9520000000002</v>
      </c>
      <c r="S308" s="3">
        <v>243.8</v>
      </c>
      <c r="T308" s="3">
        <v>975.2</v>
      </c>
      <c r="U308" s="3">
        <v>414.75200000000018</v>
      </c>
      <c r="V308" s="5">
        <v>0.29839303803296813</v>
      </c>
      <c r="W308">
        <v>9</v>
      </c>
      <c r="X308" t="s">
        <v>58</v>
      </c>
      <c r="Y308" s="6">
        <v>2</v>
      </c>
    </row>
    <row r="309" spans="1:25">
      <c r="A309" t="s">
        <v>607</v>
      </c>
      <c r="B309" s="2">
        <v>45302</v>
      </c>
      <c r="C309">
        <v>2024</v>
      </c>
      <c r="D309" t="s">
        <v>26</v>
      </c>
      <c r="E309" t="s">
        <v>27</v>
      </c>
      <c r="F309" t="s">
        <v>65</v>
      </c>
      <c r="G309" t="s">
        <v>76</v>
      </c>
      <c r="H309" t="s">
        <v>126</v>
      </c>
      <c r="I309" t="s">
        <v>78</v>
      </c>
      <c r="J309" t="s">
        <v>608</v>
      </c>
      <c r="K309" t="s">
        <v>33</v>
      </c>
      <c r="L309" t="s">
        <v>34</v>
      </c>
      <c r="M309" t="s">
        <v>35</v>
      </c>
      <c r="N309" t="s">
        <v>36</v>
      </c>
      <c r="O309" s="3">
        <v>186.69</v>
      </c>
      <c r="P309">
        <v>2</v>
      </c>
      <c r="Q309" s="4">
        <v>0.05</v>
      </c>
      <c r="R309" s="3">
        <v>354.71099999999996</v>
      </c>
      <c r="S309" s="3">
        <v>92.49</v>
      </c>
      <c r="T309" s="3">
        <v>184.98</v>
      </c>
      <c r="U309" s="3">
        <v>169.73099999999997</v>
      </c>
      <c r="V309" s="5">
        <v>0.47850503649449833</v>
      </c>
      <c r="W309">
        <v>5</v>
      </c>
      <c r="X309" t="s">
        <v>37</v>
      </c>
      <c r="Y309" s="6">
        <v>4</v>
      </c>
    </row>
    <row r="310" spans="1:25">
      <c r="A310" t="s">
        <v>609</v>
      </c>
      <c r="B310" s="2">
        <v>45302</v>
      </c>
      <c r="C310">
        <v>2024</v>
      </c>
      <c r="D310" t="s">
        <v>26</v>
      </c>
      <c r="E310" t="s">
        <v>27</v>
      </c>
      <c r="F310" t="s">
        <v>39</v>
      </c>
      <c r="G310" t="s">
        <v>111</v>
      </c>
      <c r="H310" t="s">
        <v>112</v>
      </c>
      <c r="I310" t="s">
        <v>42</v>
      </c>
      <c r="J310" t="s">
        <v>260</v>
      </c>
      <c r="K310" t="s">
        <v>61</v>
      </c>
      <c r="L310" t="s">
        <v>62</v>
      </c>
      <c r="M310" t="s">
        <v>63</v>
      </c>
      <c r="N310" t="s">
        <v>36</v>
      </c>
      <c r="O310" s="3">
        <v>86.8</v>
      </c>
      <c r="P310">
        <v>4</v>
      </c>
      <c r="Q310" s="4">
        <v>0</v>
      </c>
      <c r="R310" s="3">
        <v>347.2</v>
      </c>
      <c r="S310" s="3">
        <v>44.56</v>
      </c>
      <c r="T310" s="3">
        <v>178.24</v>
      </c>
      <c r="U310" s="3">
        <v>168.95999999999998</v>
      </c>
      <c r="V310" s="5">
        <v>0.48663594470046079</v>
      </c>
      <c r="W310">
        <v>7</v>
      </c>
      <c r="X310" t="s">
        <v>37</v>
      </c>
      <c r="Y310" s="6">
        <v>4</v>
      </c>
    </row>
    <row r="311" spans="1:25">
      <c r="A311" t="s">
        <v>610</v>
      </c>
      <c r="B311" s="2">
        <v>45303</v>
      </c>
      <c r="C311">
        <v>2024</v>
      </c>
      <c r="D311" t="s">
        <v>26</v>
      </c>
      <c r="E311" t="s">
        <v>27</v>
      </c>
      <c r="F311" t="s">
        <v>39</v>
      </c>
      <c r="G311" t="s">
        <v>40</v>
      </c>
      <c r="H311" t="s">
        <v>41</v>
      </c>
      <c r="I311" t="s">
        <v>42</v>
      </c>
      <c r="J311" t="s">
        <v>324</v>
      </c>
      <c r="K311" t="s">
        <v>61</v>
      </c>
      <c r="L311" t="s">
        <v>80</v>
      </c>
      <c r="M311" t="s">
        <v>81</v>
      </c>
      <c r="N311" t="s">
        <v>44</v>
      </c>
      <c r="O311" s="3">
        <v>1006.08</v>
      </c>
      <c r="P311">
        <v>2</v>
      </c>
      <c r="Q311" s="4">
        <v>0.2</v>
      </c>
      <c r="R311" s="3">
        <v>1609.7280000000001</v>
      </c>
      <c r="S311" s="3">
        <v>648.97</v>
      </c>
      <c r="T311" s="3">
        <v>1297.94</v>
      </c>
      <c r="U311" s="3">
        <v>311.78800000000001</v>
      </c>
      <c r="V311" s="5">
        <v>0.19368986561704835</v>
      </c>
      <c r="W311">
        <v>6</v>
      </c>
      <c r="X311" t="s">
        <v>37</v>
      </c>
      <c r="Y311" s="6">
        <v>4</v>
      </c>
    </row>
    <row r="312" spans="1:25">
      <c r="A312" t="s">
        <v>611</v>
      </c>
      <c r="B312" s="2">
        <v>45305</v>
      </c>
      <c r="C312">
        <v>2024</v>
      </c>
      <c r="D312" t="s">
        <v>26</v>
      </c>
      <c r="E312" t="s">
        <v>27</v>
      </c>
      <c r="F312" t="s">
        <v>65</v>
      </c>
      <c r="G312" t="s">
        <v>76</v>
      </c>
      <c r="H312" t="s">
        <v>77</v>
      </c>
      <c r="I312" t="s">
        <v>31</v>
      </c>
      <c r="J312" t="s">
        <v>113</v>
      </c>
      <c r="K312" t="s">
        <v>61</v>
      </c>
      <c r="L312" t="s">
        <v>84</v>
      </c>
      <c r="M312" t="s">
        <v>85</v>
      </c>
      <c r="N312" t="s">
        <v>36</v>
      </c>
      <c r="O312" s="3">
        <v>146.55000000000001</v>
      </c>
      <c r="P312">
        <v>5</v>
      </c>
      <c r="Q312" s="4">
        <v>0.2</v>
      </c>
      <c r="R312" s="3">
        <v>586.20000000000005</v>
      </c>
      <c r="S312" s="3">
        <v>70.5</v>
      </c>
      <c r="T312" s="3">
        <v>352.5</v>
      </c>
      <c r="U312" s="3">
        <v>233.70000000000005</v>
      </c>
      <c r="V312" s="5">
        <v>0.39866939611054253</v>
      </c>
      <c r="W312">
        <v>4</v>
      </c>
      <c r="X312" t="s">
        <v>37</v>
      </c>
      <c r="Y312" s="6">
        <v>5</v>
      </c>
    </row>
    <row r="313" spans="1:25">
      <c r="A313" t="s">
        <v>612</v>
      </c>
      <c r="B313" s="2">
        <v>45306</v>
      </c>
      <c r="C313">
        <v>2024</v>
      </c>
      <c r="D313" t="s">
        <v>26</v>
      </c>
      <c r="E313" t="s">
        <v>27</v>
      </c>
      <c r="F313" t="s">
        <v>28</v>
      </c>
      <c r="G313" t="s">
        <v>29</v>
      </c>
      <c r="H313" t="s">
        <v>30</v>
      </c>
      <c r="I313" t="s">
        <v>71</v>
      </c>
      <c r="J313" t="s">
        <v>613</v>
      </c>
      <c r="K313" t="s">
        <v>33</v>
      </c>
      <c r="L313" t="s">
        <v>34</v>
      </c>
      <c r="M313" t="s">
        <v>35</v>
      </c>
      <c r="N313" t="s">
        <v>44</v>
      </c>
      <c r="O313" s="3">
        <v>174.78</v>
      </c>
      <c r="P313">
        <v>1</v>
      </c>
      <c r="Q313" s="4">
        <v>0</v>
      </c>
      <c r="R313" s="3">
        <v>174.78</v>
      </c>
      <c r="S313" s="3">
        <v>89.46</v>
      </c>
      <c r="T313" s="3">
        <v>89.46</v>
      </c>
      <c r="U313" s="3">
        <v>85.320000000000007</v>
      </c>
      <c r="V313" s="5">
        <v>0.48815653964984557</v>
      </c>
      <c r="W313">
        <v>7</v>
      </c>
      <c r="X313" t="s">
        <v>37</v>
      </c>
      <c r="Y313" s="6">
        <v>4</v>
      </c>
    </row>
    <row r="314" spans="1:25">
      <c r="A314" t="s">
        <v>614</v>
      </c>
      <c r="B314" s="2">
        <v>45306</v>
      </c>
      <c r="C314">
        <v>2024</v>
      </c>
      <c r="D314" t="s">
        <v>26</v>
      </c>
      <c r="E314" t="s">
        <v>27</v>
      </c>
      <c r="F314" t="s">
        <v>51</v>
      </c>
      <c r="G314" t="s">
        <v>52</v>
      </c>
      <c r="H314" t="s">
        <v>53</v>
      </c>
      <c r="I314" t="s">
        <v>71</v>
      </c>
      <c r="J314" t="s">
        <v>419</v>
      </c>
      <c r="K314" t="s">
        <v>47</v>
      </c>
      <c r="L314" t="s">
        <v>55</v>
      </c>
      <c r="M314" t="s">
        <v>56</v>
      </c>
      <c r="N314" t="s">
        <v>36</v>
      </c>
      <c r="O314" s="3">
        <v>38.47</v>
      </c>
      <c r="P314">
        <v>5</v>
      </c>
      <c r="Q314" s="4">
        <v>0.2</v>
      </c>
      <c r="R314" s="3">
        <v>153.88</v>
      </c>
      <c r="S314" s="3">
        <v>17.440000000000001</v>
      </c>
      <c r="T314" s="3">
        <v>87.2</v>
      </c>
      <c r="U314" s="3">
        <v>66.679999999999993</v>
      </c>
      <c r="V314" s="5">
        <v>0.43332466857291391</v>
      </c>
      <c r="W314">
        <v>6</v>
      </c>
      <c r="X314" t="s">
        <v>37</v>
      </c>
      <c r="Y314" s="6">
        <v>4</v>
      </c>
    </row>
    <row r="315" spans="1:25">
      <c r="A315" t="s">
        <v>615</v>
      </c>
      <c r="B315" s="2">
        <v>45308</v>
      </c>
      <c r="C315">
        <v>2024</v>
      </c>
      <c r="D315" t="s">
        <v>26</v>
      </c>
      <c r="E315" t="s">
        <v>27</v>
      </c>
      <c r="F315" t="s">
        <v>28</v>
      </c>
      <c r="G315" t="s">
        <v>29</v>
      </c>
      <c r="H315" t="s">
        <v>60</v>
      </c>
      <c r="I315" t="s">
        <v>42</v>
      </c>
      <c r="J315" t="s">
        <v>464</v>
      </c>
      <c r="K315" t="s">
        <v>33</v>
      </c>
      <c r="L315" t="s">
        <v>34</v>
      </c>
      <c r="M315" t="s">
        <v>35</v>
      </c>
      <c r="N315" t="s">
        <v>44</v>
      </c>
      <c r="O315" s="3">
        <v>171.39</v>
      </c>
      <c r="P315">
        <v>3</v>
      </c>
      <c r="Q315" s="4">
        <v>0.15</v>
      </c>
      <c r="R315" s="3">
        <v>437.04449999999997</v>
      </c>
      <c r="S315" s="3">
        <v>92.42</v>
      </c>
      <c r="T315" s="3">
        <v>277.26</v>
      </c>
      <c r="U315" s="3">
        <v>159.78449999999998</v>
      </c>
      <c r="V315" s="5">
        <v>0.36560235856989387</v>
      </c>
      <c r="W315">
        <v>3</v>
      </c>
      <c r="X315" t="s">
        <v>37</v>
      </c>
      <c r="Y315" s="6">
        <v>5</v>
      </c>
    </row>
    <row r="316" spans="1:25">
      <c r="A316" t="s">
        <v>616</v>
      </c>
      <c r="B316" s="2">
        <v>45308</v>
      </c>
      <c r="C316">
        <v>2024</v>
      </c>
      <c r="D316" t="s">
        <v>26</v>
      </c>
      <c r="E316" t="s">
        <v>27</v>
      </c>
      <c r="F316" t="s">
        <v>51</v>
      </c>
      <c r="G316" t="s">
        <v>52</v>
      </c>
      <c r="H316" t="s">
        <v>102</v>
      </c>
      <c r="I316" t="s">
        <v>78</v>
      </c>
      <c r="J316" t="s">
        <v>276</v>
      </c>
      <c r="K316" t="s">
        <v>47</v>
      </c>
      <c r="L316" t="s">
        <v>55</v>
      </c>
      <c r="M316" t="s">
        <v>69</v>
      </c>
      <c r="N316" t="s">
        <v>44</v>
      </c>
      <c r="O316" s="3">
        <v>43.79</v>
      </c>
      <c r="P316">
        <v>2</v>
      </c>
      <c r="Q316" s="4">
        <v>0.1</v>
      </c>
      <c r="R316" s="3">
        <v>78.822000000000003</v>
      </c>
      <c r="S316" s="3">
        <v>22.34</v>
      </c>
      <c r="T316" s="3">
        <v>44.68</v>
      </c>
      <c r="U316" s="3">
        <v>34.142000000000003</v>
      </c>
      <c r="V316" s="5">
        <v>0.43315318058410091</v>
      </c>
      <c r="W316">
        <v>2</v>
      </c>
      <c r="X316" t="s">
        <v>37</v>
      </c>
      <c r="Y316" s="6">
        <v>5</v>
      </c>
    </row>
    <row r="317" spans="1:25">
      <c r="A317" t="s">
        <v>617</v>
      </c>
      <c r="B317" s="2">
        <v>45309</v>
      </c>
      <c r="C317">
        <v>2024</v>
      </c>
      <c r="D317" t="s">
        <v>26</v>
      </c>
      <c r="E317" t="s">
        <v>27</v>
      </c>
      <c r="F317" t="s">
        <v>28</v>
      </c>
      <c r="G317" t="s">
        <v>29</v>
      </c>
      <c r="H317" t="s">
        <v>30</v>
      </c>
      <c r="I317" t="s">
        <v>42</v>
      </c>
      <c r="J317" t="s">
        <v>618</v>
      </c>
      <c r="K317" t="s">
        <v>47</v>
      </c>
      <c r="L317" t="s">
        <v>55</v>
      </c>
      <c r="M317" t="s">
        <v>56</v>
      </c>
      <c r="N317" t="s">
        <v>44</v>
      </c>
      <c r="O317" s="3">
        <v>40.380000000000003</v>
      </c>
      <c r="P317">
        <v>5</v>
      </c>
      <c r="Q317" s="4">
        <v>0.15</v>
      </c>
      <c r="R317" s="3">
        <v>171.61500000000001</v>
      </c>
      <c r="S317" s="3">
        <v>16.64</v>
      </c>
      <c r="T317" s="3">
        <v>83.2</v>
      </c>
      <c r="U317" s="3">
        <v>88.415000000000006</v>
      </c>
      <c r="V317" s="5">
        <v>0.51519389330769461</v>
      </c>
      <c r="W317">
        <v>1</v>
      </c>
      <c r="X317" t="s">
        <v>37</v>
      </c>
      <c r="Y317" s="6">
        <v>5</v>
      </c>
    </row>
    <row r="318" spans="1:25">
      <c r="A318" t="s">
        <v>619</v>
      </c>
      <c r="B318" s="2">
        <v>45309</v>
      </c>
      <c r="C318">
        <v>2024</v>
      </c>
      <c r="D318" t="s">
        <v>26</v>
      </c>
      <c r="E318" t="s">
        <v>27</v>
      </c>
      <c r="F318" t="s">
        <v>28</v>
      </c>
      <c r="G318" t="s">
        <v>29</v>
      </c>
      <c r="H318" t="s">
        <v>106</v>
      </c>
      <c r="I318" t="s">
        <v>31</v>
      </c>
      <c r="J318" t="s">
        <v>521</v>
      </c>
      <c r="K318" t="s">
        <v>47</v>
      </c>
      <c r="L318" t="s">
        <v>114</v>
      </c>
      <c r="M318" t="s">
        <v>120</v>
      </c>
      <c r="N318" t="s">
        <v>36</v>
      </c>
      <c r="O318" s="3">
        <v>24.89</v>
      </c>
      <c r="P318">
        <v>11</v>
      </c>
      <c r="Q318" s="4">
        <v>0</v>
      </c>
      <c r="R318" s="3">
        <v>273.79000000000002</v>
      </c>
      <c r="S318" s="3">
        <v>10.8</v>
      </c>
      <c r="T318" s="3">
        <v>118.80000000000001</v>
      </c>
      <c r="U318" s="3">
        <v>154.99</v>
      </c>
      <c r="V318" s="5">
        <v>0.56609079951787866</v>
      </c>
      <c r="W318">
        <v>6</v>
      </c>
      <c r="X318" t="s">
        <v>37</v>
      </c>
      <c r="Y318" s="6">
        <v>4</v>
      </c>
    </row>
    <row r="319" spans="1:25">
      <c r="A319" t="s">
        <v>620</v>
      </c>
      <c r="B319" s="2">
        <v>45310</v>
      </c>
      <c r="C319">
        <v>2024</v>
      </c>
      <c r="D319" t="s">
        <v>26</v>
      </c>
      <c r="E319" t="s">
        <v>27</v>
      </c>
      <c r="F319" t="s">
        <v>39</v>
      </c>
      <c r="G319" t="s">
        <v>111</v>
      </c>
      <c r="H319" t="s">
        <v>112</v>
      </c>
      <c r="I319" t="s">
        <v>78</v>
      </c>
      <c r="J319" t="s">
        <v>621</v>
      </c>
      <c r="K319" t="s">
        <v>47</v>
      </c>
      <c r="L319" t="s">
        <v>48</v>
      </c>
      <c r="M319" t="s">
        <v>49</v>
      </c>
      <c r="N319" t="s">
        <v>57</v>
      </c>
      <c r="O319" s="3">
        <v>32.81</v>
      </c>
      <c r="P319">
        <v>6</v>
      </c>
      <c r="Q319" s="4">
        <v>0.2</v>
      </c>
      <c r="R319" s="3">
        <v>157.48800000000003</v>
      </c>
      <c r="S319" s="3">
        <v>13.87</v>
      </c>
      <c r="T319" s="3">
        <v>83.22</v>
      </c>
      <c r="U319" s="3">
        <v>74.268000000000029</v>
      </c>
      <c r="V319" s="5">
        <v>0.47157878695519667</v>
      </c>
      <c r="W319">
        <v>2</v>
      </c>
      <c r="X319" t="s">
        <v>37</v>
      </c>
      <c r="Y319" s="6">
        <v>5</v>
      </c>
    </row>
    <row r="320" spans="1:25">
      <c r="A320" t="s">
        <v>622</v>
      </c>
      <c r="B320" s="2">
        <v>45312</v>
      </c>
      <c r="C320">
        <v>2024</v>
      </c>
      <c r="D320" t="s">
        <v>26</v>
      </c>
      <c r="E320" t="s">
        <v>27</v>
      </c>
      <c r="F320" t="s">
        <v>51</v>
      </c>
      <c r="G320" t="s">
        <v>52</v>
      </c>
      <c r="H320" t="s">
        <v>53</v>
      </c>
      <c r="I320" t="s">
        <v>78</v>
      </c>
      <c r="J320" t="s">
        <v>623</v>
      </c>
      <c r="K320" t="s">
        <v>33</v>
      </c>
      <c r="L320" t="s">
        <v>34</v>
      </c>
      <c r="M320" t="s">
        <v>150</v>
      </c>
      <c r="N320" t="s">
        <v>36</v>
      </c>
      <c r="O320" s="3">
        <v>447.71</v>
      </c>
      <c r="P320">
        <v>4</v>
      </c>
      <c r="Q320" s="4">
        <v>0.1</v>
      </c>
      <c r="R320" s="3">
        <v>1611.7559999999999</v>
      </c>
      <c r="S320" s="3">
        <v>247.98</v>
      </c>
      <c r="T320" s="3">
        <v>991.92</v>
      </c>
      <c r="U320" s="3">
        <v>619.8359999999999</v>
      </c>
      <c r="V320" s="5">
        <v>0.38457185827135121</v>
      </c>
      <c r="W320">
        <v>9</v>
      </c>
      <c r="X320" t="s">
        <v>37</v>
      </c>
      <c r="Y320" s="6">
        <v>4</v>
      </c>
    </row>
    <row r="321" spans="1:25">
      <c r="A321" t="s">
        <v>624</v>
      </c>
      <c r="B321" s="2">
        <v>45312</v>
      </c>
      <c r="C321">
        <v>2024</v>
      </c>
      <c r="D321" t="s">
        <v>26</v>
      </c>
      <c r="E321" t="s">
        <v>27</v>
      </c>
      <c r="F321" t="s">
        <v>51</v>
      </c>
      <c r="G321" t="s">
        <v>52</v>
      </c>
      <c r="H321" t="s">
        <v>102</v>
      </c>
      <c r="I321" t="s">
        <v>42</v>
      </c>
      <c r="J321" t="s">
        <v>183</v>
      </c>
      <c r="K321" t="s">
        <v>61</v>
      </c>
      <c r="L321" t="s">
        <v>84</v>
      </c>
      <c r="M321" t="s">
        <v>135</v>
      </c>
      <c r="N321" t="s">
        <v>57</v>
      </c>
      <c r="O321" s="3">
        <v>906.58</v>
      </c>
      <c r="P321">
        <v>5</v>
      </c>
      <c r="Q321" s="4">
        <v>0.1</v>
      </c>
      <c r="R321" s="3">
        <v>4079.6100000000006</v>
      </c>
      <c r="S321" s="3">
        <v>579.34</v>
      </c>
      <c r="T321" s="3">
        <v>2896.7000000000003</v>
      </c>
      <c r="U321" s="3">
        <v>1182.9100000000003</v>
      </c>
      <c r="V321" s="5">
        <v>0.28995663801196686</v>
      </c>
      <c r="W321">
        <v>6</v>
      </c>
      <c r="X321" t="s">
        <v>37</v>
      </c>
      <c r="Y321" s="6">
        <v>4</v>
      </c>
    </row>
    <row r="322" spans="1:25">
      <c r="A322" t="s">
        <v>625</v>
      </c>
      <c r="B322" s="2">
        <v>45316</v>
      </c>
      <c r="C322">
        <v>2024</v>
      </c>
      <c r="D322" t="s">
        <v>26</v>
      </c>
      <c r="E322" t="s">
        <v>27</v>
      </c>
      <c r="F322" t="s">
        <v>39</v>
      </c>
      <c r="G322" t="s">
        <v>111</v>
      </c>
      <c r="H322" t="s">
        <v>112</v>
      </c>
      <c r="I322" t="s">
        <v>42</v>
      </c>
      <c r="J322" t="s">
        <v>626</v>
      </c>
      <c r="K322" t="s">
        <v>61</v>
      </c>
      <c r="L322" t="s">
        <v>62</v>
      </c>
      <c r="M322" t="s">
        <v>195</v>
      </c>
      <c r="N322" t="s">
        <v>44</v>
      </c>
      <c r="O322" s="3">
        <v>73.11</v>
      </c>
      <c r="P322">
        <v>2</v>
      </c>
      <c r="Q322" s="4">
        <v>0</v>
      </c>
      <c r="R322" s="3">
        <v>146.22</v>
      </c>
      <c r="S322" s="3">
        <v>31.39</v>
      </c>
      <c r="T322" s="3">
        <v>62.78</v>
      </c>
      <c r="U322" s="3">
        <v>83.44</v>
      </c>
      <c r="V322" s="5">
        <v>0.57064697031869782</v>
      </c>
      <c r="W322">
        <v>2</v>
      </c>
      <c r="X322" t="s">
        <v>37</v>
      </c>
      <c r="Y322" s="6">
        <v>5</v>
      </c>
    </row>
    <row r="323" spans="1:25">
      <c r="A323" t="s">
        <v>627</v>
      </c>
      <c r="B323" s="2">
        <v>45319</v>
      </c>
      <c r="C323">
        <v>2024</v>
      </c>
      <c r="D323" t="s">
        <v>26</v>
      </c>
      <c r="E323" t="s">
        <v>27</v>
      </c>
      <c r="F323" t="s">
        <v>28</v>
      </c>
      <c r="G323" t="s">
        <v>29</v>
      </c>
      <c r="H323" t="s">
        <v>106</v>
      </c>
      <c r="I323" t="s">
        <v>78</v>
      </c>
      <c r="J323" t="s">
        <v>628</v>
      </c>
      <c r="K323" t="s">
        <v>61</v>
      </c>
      <c r="L323" t="s">
        <v>62</v>
      </c>
      <c r="M323" t="s">
        <v>195</v>
      </c>
      <c r="N323" t="s">
        <v>57</v>
      </c>
      <c r="O323" s="3">
        <v>73.27</v>
      </c>
      <c r="P323">
        <v>5</v>
      </c>
      <c r="Q323" s="4">
        <v>0</v>
      </c>
      <c r="R323" s="3">
        <v>366.34999999999997</v>
      </c>
      <c r="S323" s="3">
        <v>32.72</v>
      </c>
      <c r="T323" s="3">
        <v>163.6</v>
      </c>
      <c r="U323" s="3">
        <v>202.74999999999997</v>
      </c>
      <c r="V323" s="5">
        <v>0.55343250989490922</v>
      </c>
      <c r="W323">
        <v>6</v>
      </c>
      <c r="X323" t="s">
        <v>37</v>
      </c>
      <c r="Y323" s="6">
        <v>4</v>
      </c>
    </row>
    <row r="324" spans="1:25">
      <c r="A324" t="s">
        <v>629</v>
      </c>
      <c r="B324" s="2">
        <v>45319</v>
      </c>
      <c r="C324">
        <v>2024</v>
      </c>
      <c r="D324" t="s">
        <v>26</v>
      </c>
      <c r="E324" t="s">
        <v>27</v>
      </c>
      <c r="F324" t="s">
        <v>28</v>
      </c>
      <c r="G324" t="s">
        <v>29</v>
      </c>
      <c r="H324" t="s">
        <v>30</v>
      </c>
      <c r="I324" t="s">
        <v>71</v>
      </c>
      <c r="J324" t="s">
        <v>630</v>
      </c>
      <c r="K324" t="s">
        <v>61</v>
      </c>
      <c r="L324" t="s">
        <v>62</v>
      </c>
      <c r="M324" t="s">
        <v>195</v>
      </c>
      <c r="N324" t="s">
        <v>36</v>
      </c>
      <c r="O324" s="3">
        <v>75.34</v>
      </c>
      <c r="P324">
        <v>3</v>
      </c>
      <c r="Q324" s="4">
        <v>0.2</v>
      </c>
      <c r="R324" s="3">
        <v>180.81600000000003</v>
      </c>
      <c r="S324" s="3">
        <v>32.200000000000003</v>
      </c>
      <c r="T324" s="3">
        <v>96.600000000000009</v>
      </c>
      <c r="U324" s="3">
        <v>84.216000000000022</v>
      </c>
      <c r="V324" s="5">
        <v>0.46575524289885856</v>
      </c>
      <c r="W324">
        <v>4</v>
      </c>
      <c r="X324" t="s">
        <v>37</v>
      </c>
      <c r="Y324" s="6">
        <v>5</v>
      </c>
    </row>
    <row r="325" spans="1:25">
      <c r="A325" t="s">
        <v>631</v>
      </c>
      <c r="B325" s="2">
        <v>45320</v>
      </c>
      <c r="C325">
        <v>2024</v>
      </c>
      <c r="D325" t="s">
        <v>26</v>
      </c>
      <c r="E325" t="s">
        <v>27</v>
      </c>
      <c r="F325" t="s">
        <v>51</v>
      </c>
      <c r="G325" t="s">
        <v>52</v>
      </c>
      <c r="H325" t="s">
        <v>102</v>
      </c>
      <c r="I325" t="s">
        <v>78</v>
      </c>
      <c r="J325" t="s">
        <v>632</v>
      </c>
      <c r="K325" t="s">
        <v>61</v>
      </c>
      <c r="L325" t="s">
        <v>62</v>
      </c>
      <c r="M325" t="s">
        <v>63</v>
      </c>
      <c r="N325" t="s">
        <v>57</v>
      </c>
      <c r="O325" s="3">
        <v>86.1</v>
      </c>
      <c r="P325">
        <v>1</v>
      </c>
      <c r="Q325" s="4">
        <v>0.05</v>
      </c>
      <c r="R325" s="3">
        <v>81.794999999999987</v>
      </c>
      <c r="S325" s="3">
        <v>44.77</v>
      </c>
      <c r="T325" s="3">
        <v>44.77</v>
      </c>
      <c r="U325" s="3">
        <v>37.024999999999984</v>
      </c>
      <c r="V325" s="5">
        <v>0.45265603031970159</v>
      </c>
      <c r="W325">
        <v>5</v>
      </c>
      <c r="X325" t="s">
        <v>37</v>
      </c>
      <c r="Y325" s="6">
        <v>4</v>
      </c>
    </row>
    <row r="326" spans="1:25">
      <c r="A326" t="s">
        <v>633</v>
      </c>
      <c r="B326" s="2">
        <v>45322</v>
      </c>
      <c r="C326">
        <v>2024</v>
      </c>
      <c r="D326" t="s">
        <v>26</v>
      </c>
      <c r="E326" t="s">
        <v>27</v>
      </c>
      <c r="F326" t="s">
        <v>39</v>
      </c>
      <c r="G326" t="s">
        <v>40</v>
      </c>
      <c r="H326" t="s">
        <v>41</v>
      </c>
      <c r="I326" t="s">
        <v>42</v>
      </c>
      <c r="J326" t="s">
        <v>397</v>
      </c>
      <c r="K326" t="s">
        <v>61</v>
      </c>
      <c r="L326" t="s">
        <v>62</v>
      </c>
      <c r="M326" t="s">
        <v>195</v>
      </c>
      <c r="N326" t="s">
        <v>44</v>
      </c>
      <c r="O326" s="3">
        <v>72.47</v>
      </c>
      <c r="P326">
        <v>4</v>
      </c>
      <c r="Q326" s="4">
        <v>0.15</v>
      </c>
      <c r="R326" s="3">
        <v>246.398</v>
      </c>
      <c r="S326" s="3">
        <v>32.549999999999997</v>
      </c>
      <c r="T326" s="3">
        <v>130.19999999999999</v>
      </c>
      <c r="U326" s="3">
        <v>116.19800000000001</v>
      </c>
      <c r="V326" s="5">
        <v>0.47158662002126644</v>
      </c>
      <c r="W326">
        <v>4</v>
      </c>
      <c r="X326" t="s">
        <v>37</v>
      </c>
      <c r="Y326" s="6">
        <v>4</v>
      </c>
    </row>
    <row r="327" spans="1:25">
      <c r="A327" t="s">
        <v>634</v>
      </c>
      <c r="B327" s="2">
        <v>45323</v>
      </c>
      <c r="C327">
        <v>2024</v>
      </c>
      <c r="D327" t="s">
        <v>26</v>
      </c>
      <c r="E327" t="s">
        <v>131</v>
      </c>
      <c r="F327" t="s">
        <v>51</v>
      </c>
      <c r="G327" t="s">
        <v>52</v>
      </c>
      <c r="H327" t="s">
        <v>102</v>
      </c>
      <c r="I327" t="s">
        <v>42</v>
      </c>
      <c r="J327" t="s">
        <v>531</v>
      </c>
      <c r="K327" t="s">
        <v>47</v>
      </c>
      <c r="L327" t="s">
        <v>55</v>
      </c>
      <c r="M327" t="s">
        <v>69</v>
      </c>
      <c r="N327" t="s">
        <v>44</v>
      </c>
      <c r="O327" s="3">
        <v>45.4</v>
      </c>
      <c r="P327">
        <v>11</v>
      </c>
      <c r="Q327" s="4">
        <v>0.1</v>
      </c>
      <c r="R327" s="3">
        <v>449.46</v>
      </c>
      <c r="S327" s="3">
        <v>22.33</v>
      </c>
      <c r="T327" s="3">
        <v>245.63</v>
      </c>
      <c r="U327" s="3">
        <v>203.82999999999998</v>
      </c>
      <c r="V327" s="5">
        <v>0.45349975526186981</v>
      </c>
      <c r="W327">
        <v>6</v>
      </c>
      <c r="X327" t="s">
        <v>37</v>
      </c>
      <c r="Y327" s="6">
        <v>4</v>
      </c>
    </row>
    <row r="328" spans="1:25">
      <c r="A328" t="s">
        <v>635</v>
      </c>
      <c r="B328" s="2">
        <v>45324</v>
      </c>
      <c r="C328">
        <v>2024</v>
      </c>
      <c r="D328" t="s">
        <v>26</v>
      </c>
      <c r="E328" t="s">
        <v>131</v>
      </c>
      <c r="F328" t="s">
        <v>39</v>
      </c>
      <c r="G328" t="s">
        <v>40</v>
      </c>
      <c r="H328" t="s">
        <v>41</v>
      </c>
      <c r="I328" t="s">
        <v>42</v>
      </c>
      <c r="J328" t="s">
        <v>527</v>
      </c>
      <c r="K328" t="s">
        <v>33</v>
      </c>
      <c r="L328" t="s">
        <v>73</v>
      </c>
      <c r="M328" t="s">
        <v>74</v>
      </c>
      <c r="N328" t="s">
        <v>57</v>
      </c>
      <c r="O328" s="3">
        <v>699.77</v>
      </c>
      <c r="P328">
        <v>5</v>
      </c>
      <c r="Q328" s="4">
        <v>0</v>
      </c>
      <c r="R328" s="3">
        <v>3498.85</v>
      </c>
      <c r="S328" s="3">
        <v>414.65</v>
      </c>
      <c r="T328" s="3">
        <v>2073.25</v>
      </c>
      <c r="U328" s="3">
        <v>1425.6</v>
      </c>
      <c r="V328" s="5">
        <v>0.40744816153879132</v>
      </c>
      <c r="W328">
        <v>3</v>
      </c>
      <c r="X328" t="s">
        <v>37</v>
      </c>
      <c r="Y328" s="6">
        <v>4</v>
      </c>
    </row>
    <row r="329" spans="1:25">
      <c r="A329" t="s">
        <v>636</v>
      </c>
      <c r="B329" s="2">
        <v>45326</v>
      </c>
      <c r="C329">
        <v>2024</v>
      </c>
      <c r="D329" t="s">
        <v>26</v>
      </c>
      <c r="E329" t="s">
        <v>131</v>
      </c>
      <c r="F329" t="s">
        <v>28</v>
      </c>
      <c r="G329" t="s">
        <v>29</v>
      </c>
      <c r="H329" t="s">
        <v>60</v>
      </c>
      <c r="I329" t="s">
        <v>71</v>
      </c>
      <c r="J329" t="s">
        <v>373</v>
      </c>
      <c r="K329" t="s">
        <v>47</v>
      </c>
      <c r="L329" t="s">
        <v>114</v>
      </c>
      <c r="M329" t="s">
        <v>120</v>
      </c>
      <c r="N329" t="s">
        <v>57</v>
      </c>
      <c r="O329" s="3">
        <v>26.03</v>
      </c>
      <c r="P329">
        <v>12</v>
      </c>
      <c r="Q329" s="4">
        <v>0.2</v>
      </c>
      <c r="R329" s="3">
        <v>249.88800000000003</v>
      </c>
      <c r="S329" s="3">
        <v>11.28</v>
      </c>
      <c r="T329" s="3">
        <v>135.35999999999999</v>
      </c>
      <c r="U329" s="3">
        <v>114.52800000000005</v>
      </c>
      <c r="V329" s="5">
        <v>0.45831732616212079</v>
      </c>
      <c r="W329">
        <v>6</v>
      </c>
      <c r="X329" t="s">
        <v>37</v>
      </c>
      <c r="Y329" s="6">
        <v>5</v>
      </c>
    </row>
    <row r="330" spans="1:25">
      <c r="A330" t="s">
        <v>637</v>
      </c>
      <c r="B330" s="2">
        <v>45327</v>
      </c>
      <c r="C330">
        <v>2024</v>
      </c>
      <c r="D330" t="s">
        <v>26</v>
      </c>
      <c r="E330" t="s">
        <v>131</v>
      </c>
      <c r="F330" t="s">
        <v>28</v>
      </c>
      <c r="G330" t="s">
        <v>29</v>
      </c>
      <c r="H330" t="s">
        <v>30</v>
      </c>
      <c r="I330" t="s">
        <v>71</v>
      </c>
      <c r="J330" t="s">
        <v>381</v>
      </c>
      <c r="K330" t="s">
        <v>61</v>
      </c>
      <c r="L330" t="s">
        <v>84</v>
      </c>
      <c r="M330" t="s">
        <v>135</v>
      </c>
      <c r="N330" t="s">
        <v>57</v>
      </c>
      <c r="O330" s="3">
        <v>895.63</v>
      </c>
      <c r="P330">
        <v>2</v>
      </c>
      <c r="Q330" s="4">
        <v>0.2</v>
      </c>
      <c r="R330" s="3">
        <v>1433.008</v>
      </c>
      <c r="S330" s="3">
        <v>582.78</v>
      </c>
      <c r="T330" s="3">
        <v>1165.56</v>
      </c>
      <c r="U330" s="3">
        <v>267.44800000000009</v>
      </c>
      <c r="V330" s="5">
        <v>0.18663398948226395</v>
      </c>
      <c r="W330">
        <v>7</v>
      </c>
      <c r="X330" t="s">
        <v>37</v>
      </c>
      <c r="Y330" s="6">
        <v>4</v>
      </c>
    </row>
    <row r="331" spans="1:25">
      <c r="A331" t="s">
        <v>638</v>
      </c>
      <c r="B331" s="2">
        <v>45327</v>
      </c>
      <c r="C331">
        <v>2024</v>
      </c>
      <c r="D331" t="s">
        <v>26</v>
      </c>
      <c r="E331" t="s">
        <v>131</v>
      </c>
      <c r="F331" t="s">
        <v>39</v>
      </c>
      <c r="G331" t="s">
        <v>40</v>
      </c>
      <c r="H331" t="s">
        <v>41</v>
      </c>
      <c r="I331" t="s">
        <v>31</v>
      </c>
      <c r="J331" t="s">
        <v>639</v>
      </c>
      <c r="K331" t="s">
        <v>47</v>
      </c>
      <c r="L331" t="s">
        <v>55</v>
      </c>
      <c r="M331" t="s">
        <v>56</v>
      </c>
      <c r="N331" t="s">
        <v>44</v>
      </c>
      <c r="O331" s="3">
        <v>38.049999999999997</v>
      </c>
      <c r="P331">
        <v>11</v>
      </c>
      <c r="Q331" s="4">
        <v>0</v>
      </c>
      <c r="R331" s="3">
        <v>418.54999999999995</v>
      </c>
      <c r="S331" s="3">
        <v>17.13</v>
      </c>
      <c r="T331" s="3">
        <v>188.42999999999998</v>
      </c>
      <c r="U331" s="3">
        <v>230.11999999999998</v>
      </c>
      <c r="V331" s="5">
        <v>0.54980289093298296</v>
      </c>
      <c r="W331">
        <v>2</v>
      </c>
      <c r="X331" t="s">
        <v>37</v>
      </c>
      <c r="Y331" s="6">
        <v>5</v>
      </c>
    </row>
    <row r="332" spans="1:25">
      <c r="A332" t="s">
        <v>640</v>
      </c>
      <c r="B332" s="2">
        <v>45329</v>
      </c>
      <c r="C332">
        <v>2024</v>
      </c>
      <c r="D332" t="s">
        <v>26</v>
      </c>
      <c r="E332" t="s">
        <v>131</v>
      </c>
      <c r="F332" t="s">
        <v>51</v>
      </c>
      <c r="G332" t="s">
        <v>97</v>
      </c>
      <c r="H332" t="s">
        <v>98</v>
      </c>
      <c r="I332" t="s">
        <v>42</v>
      </c>
      <c r="J332" t="s">
        <v>317</v>
      </c>
      <c r="K332" t="s">
        <v>61</v>
      </c>
      <c r="L332" t="s">
        <v>80</v>
      </c>
      <c r="M332" t="s">
        <v>81</v>
      </c>
      <c r="N332" t="s">
        <v>57</v>
      </c>
      <c r="O332" s="3">
        <v>1042.49</v>
      </c>
      <c r="P332">
        <v>3</v>
      </c>
      <c r="Q332" s="4">
        <v>0.05</v>
      </c>
      <c r="R332" s="3">
        <v>2971.0965000000001</v>
      </c>
      <c r="S332" s="3">
        <v>646.97</v>
      </c>
      <c r="T332" s="3">
        <v>1940.91</v>
      </c>
      <c r="U332" s="3">
        <v>1030.1865</v>
      </c>
      <c r="V332" s="5">
        <v>0.34673612923713515</v>
      </c>
      <c r="W332">
        <v>5</v>
      </c>
      <c r="X332" t="s">
        <v>37</v>
      </c>
      <c r="Y332" s="6">
        <v>4</v>
      </c>
    </row>
    <row r="333" spans="1:25">
      <c r="A333" t="s">
        <v>641</v>
      </c>
      <c r="B333" s="2">
        <v>45329</v>
      </c>
      <c r="C333">
        <v>2024</v>
      </c>
      <c r="D333" t="s">
        <v>26</v>
      </c>
      <c r="E333" t="s">
        <v>131</v>
      </c>
      <c r="F333" t="s">
        <v>51</v>
      </c>
      <c r="G333" t="s">
        <v>52</v>
      </c>
      <c r="H333" t="s">
        <v>102</v>
      </c>
      <c r="I333" t="s">
        <v>71</v>
      </c>
      <c r="J333" t="s">
        <v>46</v>
      </c>
      <c r="K333" t="s">
        <v>47</v>
      </c>
      <c r="L333" t="s">
        <v>114</v>
      </c>
      <c r="M333" t="s">
        <v>115</v>
      </c>
      <c r="N333" t="s">
        <v>36</v>
      </c>
      <c r="O333" s="3">
        <v>18.399999999999999</v>
      </c>
      <c r="P333">
        <v>6</v>
      </c>
      <c r="Q333" s="4">
        <v>0.2</v>
      </c>
      <c r="R333" s="3">
        <v>88.32</v>
      </c>
      <c r="S333" s="3">
        <v>7.08</v>
      </c>
      <c r="T333" s="3">
        <v>42.480000000000004</v>
      </c>
      <c r="U333" s="3">
        <v>45.839999999999989</v>
      </c>
      <c r="V333" s="5">
        <v>0.5190217391304347</v>
      </c>
      <c r="W333">
        <v>1</v>
      </c>
      <c r="X333" t="s">
        <v>37</v>
      </c>
      <c r="Y333" s="6">
        <v>5</v>
      </c>
    </row>
    <row r="334" spans="1:25">
      <c r="A334" t="s">
        <v>642</v>
      </c>
      <c r="B334" s="2">
        <v>45330</v>
      </c>
      <c r="C334">
        <v>2024</v>
      </c>
      <c r="D334" t="s">
        <v>26</v>
      </c>
      <c r="E334" t="s">
        <v>131</v>
      </c>
      <c r="F334" t="s">
        <v>39</v>
      </c>
      <c r="G334" t="s">
        <v>111</v>
      </c>
      <c r="H334" t="s">
        <v>112</v>
      </c>
      <c r="I334" t="s">
        <v>71</v>
      </c>
      <c r="J334" t="s">
        <v>643</v>
      </c>
      <c r="K334" t="s">
        <v>61</v>
      </c>
      <c r="L334" t="s">
        <v>80</v>
      </c>
      <c r="M334" t="s">
        <v>81</v>
      </c>
      <c r="N334" t="s">
        <v>44</v>
      </c>
      <c r="O334" s="3">
        <v>990.48</v>
      </c>
      <c r="P334">
        <v>4</v>
      </c>
      <c r="Q334" s="4">
        <v>0.2</v>
      </c>
      <c r="R334" s="3">
        <v>3169.5360000000001</v>
      </c>
      <c r="S334" s="3">
        <v>641.08000000000004</v>
      </c>
      <c r="T334" s="3">
        <v>2564.3200000000002</v>
      </c>
      <c r="U334" s="3">
        <v>605.21599999999989</v>
      </c>
      <c r="V334" s="5">
        <v>0.19094782327760274</v>
      </c>
      <c r="W334">
        <v>6</v>
      </c>
      <c r="X334" t="s">
        <v>37</v>
      </c>
      <c r="Y334" s="6">
        <v>4</v>
      </c>
    </row>
    <row r="335" spans="1:25">
      <c r="A335" t="s">
        <v>644</v>
      </c>
      <c r="B335" s="2">
        <v>45331</v>
      </c>
      <c r="C335">
        <v>2024</v>
      </c>
      <c r="D335" t="s">
        <v>26</v>
      </c>
      <c r="E335" t="s">
        <v>131</v>
      </c>
      <c r="F335" t="s">
        <v>65</v>
      </c>
      <c r="G335" t="s">
        <v>66</v>
      </c>
      <c r="H335" t="s">
        <v>67</v>
      </c>
      <c r="I335" t="s">
        <v>78</v>
      </c>
      <c r="J335" t="s">
        <v>645</v>
      </c>
      <c r="K335" t="s">
        <v>47</v>
      </c>
      <c r="L335" t="s">
        <v>55</v>
      </c>
      <c r="M335" t="s">
        <v>56</v>
      </c>
      <c r="N335" t="s">
        <v>44</v>
      </c>
      <c r="O335" s="3">
        <v>40</v>
      </c>
      <c r="P335">
        <v>6</v>
      </c>
      <c r="Q335" s="4">
        <v>0.1</v>
      </c>
      <c r="R335" s="3">
        <v>216</v>
      </c>
      <c r="S335" s="3">
        <v>17.21</v>
      </c>
      <c r="T335" s="3">
        <v>103.26</v>
      </c>
      <c r="U335" s="3">
        <v>112.74</v>
      </c>
      <c r="V335" s="5">
        <v>0.52194444444444443</v>
      </c>
      <c r="W335">
        <v>3</v>
      </c>
      <c r="X335" t="s">
        <v>37</v>
      </c>
      <c r="Y335" s="6">
        <v>5</v>
      </c>
    </row>
    <row r="336" spans="1:25">
      <c r="A336" t="s">
        <v>646</v>
      </c>
      <c r="B336" s="2">
        <v>45332</v>
      </c>
      <c r="C336">
        <v>2024</v>
      </c>
      <c r="D336" t="s">
        <v>26</v>
      </c>
      <c r="E336" t="s">
        <v>131</v>
      </c>
      <c r="F336" t="s">
        <v>51</v>
      </c>
      <c r="G336" t="s">
        <v>97</v>
      </c>
      <c r="H336" t="s">
        <v>98</v>
      </c>
      <c r="I336" t="s">
        <v>71</v>
      </c>
      <c r="J336" t="s">
        <v>282</v>
      </c>
      <c r="K336" t="s">
        <v>47</v>
      </c>
      <c r="L336" t="s">
        <v>114</v>
      </c>
      <c r="M336" t="s">
        <v>120</v>
      </c>
      <c r="N336" t="s">
        <v>57</v>
      </c>
      <c r="O336" s="3">
        <v>24.73</v>
      </c>
      <c r="P336">
        <v>7</v>
      </c>
      <c r="Q336" s="4">
        <v>0.15</v>
      </c>
      <c r="R336" s="3">
        <v>147.14350000000002</v>
      </c>
      <c r="S336" s="3">
        <v>11.22</v>
      </c>
      <c r="T336" s="3">
        <v>78.540000000000006</v>
      </c>
      <c r="U336" s="3">
        <v>68.603500000000011</v>
      </c>
      <c r="V336" s="5">
        <v>0.46623534169025477</v>
      </c>
      <c r="W336">
        <v>3</v>
      </c>
      <c r="X336" t="s">
        <v>58</v>
      </c>
      <c r="Y336" s="6">
        <v>4</v>
      </c>
    </row>
    <row r="337" spans="1:25">
      <c r="A337" t="s">
        <v>647</v>
      </c>
      <c r="B337" s="2">
        <v>45335</v>
      </c>
      <c r="C337">
        <v>2024</v>
      </c>
      <c r="D337" t="s">
        <v>26</v>
      </c>
      <c r="E337" t="s">
        <v>131</v>
      </c>
      <c r="F337" t="s">
        <v>28</v>
      </c>
      <c r="G337" t="s">
        <v>29</v>
      </c>
      <c r="H337" t="s">
        <v>30</v>
      </c>
      <c r="I337" t="s">
        <v>78</v>
      </c>
      <c r="J337" t="s">
        <v>231</v>
      </c>
      <c r="K337" t="s">
        <v>47</v>
      </c>
      <c r="L337" t="s">
        <v>114</v>
      </c>
      <c r="M337" t="s">
        <v>115</v>
      </c>
      <c r="N337" t="s">
        <v>44</v>
      </c>
      <c r="O337" s="3">
        <v>18.600000000000001</v>
      </c>
      <c r="P337">
        <v>4</v>
      </c>
      <c r="Q337" s="4">
        <v>0</v>
      </c>
      <c r="R337" s="3">
        <v>74.400000000000006</v>
      </c>
      <c r="S337" s="3">
        <v>7.05</v>
      </c>
      <c r="T337" s="3">
        <v>28.2</v>
      </c>
      <c r="U337" s="3">
        <v>46.2</v>
      </c>
      <c r="V337" s="5">
        <v>0.62096774193548387</v>
      </c>
      <c r="W337">
        <v>4</v>
      </c>
      <c r="X337" t="s">
        <v>37</v>
      </c>
      <c r="Y337" s="6">
        <v>4</v>
      </c>
    </row>
    <row r="338" spans="1:25">
      <c r="A338" t="s">
        <v>648</v>
      </c>
      <c r="B338" s="2">
        <v>45335</v>
      </c>
      <c r="C338">
        <v>2024</v>
      </c>
      <c r="D338" t="s">
        <v>26</v>
      </c>
      <c r="E338" t="s">
        <v>131</v>
      </c>
      <c r="F338" t="s">
        <v>28</v>
      </c>
      <c r="G338" t="s">
        <v>29</v>
      </c>
      <c r="H338" t="s">
        <v>30</v>
      </c>
      <c r="I338" t="s">
        <v>78</v>
      </c>
      <c r="J338" t="s">
        <v>164</v>
      </c>
      <c r="K338" t="s">
        <v>61</v>
      </c>
      <c r="L338" t="s">
        <v>62</v>
      </c>
      <c r="M338" t="s">
        <v>195</v>
      </c>
      <c r="N338" t="s">
        <v>57</v>
      </c>
      <c r="O338" s="3">
        <v>72.099999999999994</v>
      </c>
      <c r="P338">
        <v>4</v>
      </c>
      <c r="Q338" s="4">
        <v>0</v>
      </c>
      <c r="R338" s="3">
        <v>288.39999999999998</v>
      </c>
      <c r="S338" s="3">
        <v>31.29</v>
      </c>
      <c r="T338" s="3">
        <v>125.16</v>
      </c>
      <c r="U338" s="3">
        <v>163.23999999999998</v>
      </c>
      <c r="V338" s="5">
        <v>0.56601941747572815</v>
      </c>
      <c r="W338">
        <v>7</v>
      </c>
      <c r="X338" t="s">
        <v>37</v>
      </c>
      <c r="Y338" s="6">
        <v>4</v>
      </c>
    </row>
    <row r="339" spans="1:25">
      <c r="A339" t="s">
        <v>649</v>
      </c>
      <c r="B339" s="2">
        <v>45336</v>
      </c>
      <c r="C339">
        <v>2024</v>
      </c>
      <c r="D339" t="s">
        <v>26</v>
      </c>
      <c r="E339" t="s">
        <v>131</v>
      </c>
      <c r="F339" t="s">
        <v>65</v>
      </c>
      <c r="G339" t="s">
        <v>66</v>
      </c>
      <c r="H339" t="s">
        <v>67</v>
      </c>
      <c r="I339" t="s">
        <v>71</v>
      </c>
      <c r="J339" t="s">
        <v>590</v>
      </c>
      <c r="K339" t="s">
        <v>61</v>
      </c>
      <c r="L339" t="s">
        <v>84</v>
      </c>
      <c r="M339" t="s">
        <v>85</v>
      </c>
      <c r="N339" t="s">
        <v>57</v>
      </c>
      <c r="O339" s="3">
        <v>156.41</v>
      </c>
      <c r="P339">
        <v>2</v>
      </c>
      <c r="Q339" s="4">
        <v>0.15</v>
      </c>
      <c r="R339" s="3">
        <v>265.89699999999999</v>
      </c>
      <c r="S339" s="3">
        <v>72.27</v>
      </c>
      <c r="T339" s="3">
        <v>144.54</v>
      </c>
      <c r="U339" s="3">
        <v>121.357</v>
      </c>
      <c r="V339" s="5">
        <v>0.45640605196749118</v>
      </c>
      <c r="W339">
        <v>4</v>
      </c>
      <c r="X339" t="s">
        <v>37</v>
      </c>
      <c r="Y339" s="6">
        <v>5</v>
      </c>
    </row>
    <row r="340" spans="1:25">
      <c r="A340" t="s">
        <v>650</v>
      </c>
      <c r="B340" s="2">
        <v>45337</v>
      </c>
      <c r="C340">
        <v>2024</v>
      </c>
      <c r="D340" t="s">
        <v>26</v>
      </c>
      <c r="E340" t="s">
        <v>131</v>
      </c>
      <c r="F340" t="s">
        <v>39</v>
      </c>
      <c r="G340" t="s">
        <v>40</v>
      </c>
      <c r="H340" t="s">
        <v>41</v>
      </c>
      <c r="I340" t="s">
        <v>31</v>
      </c>
      <c r="J340" t="s">
        <v>651</v>
      </c>
      <c r="K340" t="s">
        <v>47</v>
      </c>
      <c r="L340" t="s">
        <v>55</v>
      </c>
      <c r="M340" t="s">
        <v>69</v>
      </c>
      <c r="N340" t="s">
        <v>44</v>
      </c>
      <c r="O340" s="3">
        <v>45.17</v>
      </c>
      <c r="P340">
        <v>10</v>
      </c>
      <c r="Q340" s="4">
        <v>0.1</v>
      </c>
      <c r="R340" s="3">
        <v>406.53000000000003</v>
      </c>
      <c r="S340" s="3">
        <v>22.63</v>
      </c>
      <c r="T340" s="3">
        <v>226.29999999999998</v>
      </c>
      <c r="U340" s="3">
        <v>180.23000000000005</v>
      </c>
      <c r="V340" s="5">
        <v>0.44333751506653885</v>
      </c>
      <c r="W340">
        <v>7</v>
      </c>
      <c r="X340" t="s">
        <v>37</v>
      </c>
      <c r="Y340" s="6">
        <v>4</v>
      </c>
    </row>
    <row r="341" spans="1:25">
      <c r="A341" t="s">
        <v>652</v>
      </c>
      <c r="B341" s="2">
        <v>45338</v>
      </c>
      <c r="C341">
        <v>2024</v>
      </c>
      <c r="D341" t="s">
        <v>26</v>
      </c>
      <c r="E341" t="s">
        <v>131</v>
      </c>
      <c r="F341" t="s">
        <v>65</v>
      </c>
      <c r="G341" t="s">
        <v>66</v>
      </c>
      <c r="H341" t="s">
        <v>67</v>
      </c>
      <c r="I341" t="s">
        <v>31</v>
      </c>
      <c r="J341" t="s">
        <v>68</v>
      </c>
      <c r="K341" t="s">
        <v>47</v>
      </c>
      <c r="L341" t="s">
        <v>48</v>
      </c>
      <c r="M341" t="s">
        <v>49</v>
      </c>
      <c r="N341" t="s">
        <v>44</v>
      </c>
      <c r="O341" s="3">
        <v>33.42</v>
      </c>
      <c r="P341">
        <v>3</v>
      </c>
      <c r="Q341" s="4">
        <v>0</v>
      </c>
      <c r="R341" s="3">
        <v>100.26</v>
      </c>
      <c r="S341" s="3">
        <v>14.12</v>
      </c>
      <c r="T341" s="3">
        <v>42.36</v>
      </c>
      <c r="U341" s="3">
        <v>57.900000000000006</v>
      </c>
      <c r="V341" s="5">
        <v>0.57749850388988633</v>
      </c>
      <c r="W341">
        <v>5</v>
      </c>
      <c r="X341" t="s">
        <v>37</v>
      </c>
      <c r="Y341" s="6">
        <v>5</v>
      </c>
    </row>
    <row r="342" spans="1:25">
      <c r="A342" t="s">
        <v>653</v>
      </c>
      <c r="B342" s="2">
        <v>45338</v>
      </c>
      <c r="C342">
        <v>2024</v>
      </c>
      <c r="D342" t="s">
        <v>26</v>
      </c>
      <c r="E342" t="s">
        <v>131</v>
      </c>
      <c r="F342" t="s">
        <v>39</v>
      </c>
      <c r="G342" t="s">
        <v>40</v>
      </c>
      <c r="H342" t="s">
        <v>41</v>
      </c>
      <c r="I342" t="s">
        <v>71</v>
      </c>
      <c r="J342" t="s">
        <v>531</v>
      </c>
      <c r="K342" t="s">
        <v>61</v>
      </c>
      <c r="L342" t="s">
        <v>80</v>
      </c>
      <c r="M342" t="s">
        <v>81</v>
      </c>
      <c r="N342" t="s">
        <v>57</v>
      </c>
      <c r="O342" s="3">
        <v>1015.78</v>
      </c>
      <c r="P342">
        <v>2</v>
      </c>
      <c r="Q342" s="4">
        <v>0.2</v>
      </c>
      <c r="R342" s="3">
        <v>1625.248</v>
      </c>
      <c r="S342" s="3">
        <v>676.31</v>
      </c>
      <c r="T342" s="3">
        <v>1352.62</v>
      </c>
      <c r="U342" s="3">
        <v>272.62800000000016</v>
      </c>
      <c r="V342" s="5">
        <v>0.16774547638268139</v>
      </c>
      <c r="W342">
        <v>1</v>
      </c>
      <c r="X342" t="s">
        <v>37</v>
      </c>
      <c r="Y342" s="6">
        <v>5</v>
      </c>
    </row>
    <row r="343" spans="1:25">
      <c r="A343" t="s">
        <v>654</v>
      </c>
      <c r="B343" s="2">
        <v>45339</v>
      </c>
      <c r="C343">
        <v>2024</v>
      </c>
      <c r="D343" t="s">
        <v>26</v>
      </c>
      <c r="E343" t="s">
        <v>131</v>
      </c>
      <c r="F343" t="s">
        <v>28</v>
      </c>
      <c r="G343" t="s">
        <v>29</v>
      </c>
      <c r="H343" t="s">
        <v>60</v>
      </c>
      <c r="I343" t="s">
        <v>78</v>
      </c>
      <c r="J343" t="s">
        <v>452</v>
      </c>
      <c r="K343" t="s">
        <v>61</v>
      </c>
      <c r="L343" t="s">
        <v>62</v>
      </c>
      <c r="M343" t="s">
        <v>195</v>
      </c>
      <c r="N343" t="s">
        <v>44</v>
      </c>
      <c r="O343" s="3">
        <v>76.73</v>
      </c>
      <c r="P343">
        <v>3</v>
      </c>
      <c r="Q343" s="4">
        <v>0.1</v>
      </c>
      <c r="R343" s="3">
        <v>207.17099999999999</v>
      </c>
      <c r="S343" s="3">
        <v>31.5</v>
      </c>
      <c r="T343" s="3">
        <v>94.5</v>
      </c>
      <c r="U343" s="3">
        <v>112.67099999999999</v>
      </c>
      <c r="V343" s="5">
        <v>0.54385507624136586</v>
      </c>
      <c r="W343">
        <v>5</v>
      </c>
      <c r="X343" t="s">
        <v>37</v>
      </c>
      <c r="Y343" s="6">
        <v>4</v>
      </c>
    </row>
    <row r="344" spans="1:25">
      <c r="A344" t="s">
        <v>655</v>
      </c>
      <c r="B344" s="2">
        <v>45339</v>
      </c>
      <c r="C344">
        <v>2024</v>
      </c>
      <c r="D344" t="s">
        <v>26</v>
      </c>
      <c r="E344" t="s">
        <v>131</v>
      </c>
      <c r="F344" t="s">
        <v>65</v>
      </c>
      <c r="G344" t="s">
        <v>76</v>
      </c>
      <c r="H344" t="s">
        <v>77</v>
      </c>
      <c r="I344" t="s">
        <v>42</v>
      </c>
      <c r="J344" t="s">
        <v>656</v>
      </c>
      <c r="K344" t="s">
        <v>47</v>
      </c>
      <c r="L344" t="s">
        <v>55</v>
      </c>
      <c r="M344" t="s">
        <v>56</v>
      </c>
      <c r="N344" t="s">
        <v>36</v>
      </c>
      <c r="O344" s="3">
        <v>40.25</v>
      </c>
      <c r="P344">
        <v>3</v>
      </c>
      <c r="Q344" s="4">
        <v>0.15</v>
      </c>
      <c r="R344" s="3">
        <v>102.6375</v>
      </c>
      <c r="S344" s="3">
        <v>17.11</v>
      </c>
      <c r="T344" s="3">
        <v>51.33</v>
      </c>
      <c r="U344" s="3">
        <v>51.307500000000005</v>
      </c>
      <c r="V344" s="5">
        <v>0.4998903909389843</v>
      </c>
      <c r="W344">
        <v>1</v>
      </c>
      <c r="X344" t="s">
        <v>37</v>
      </c>
      <c r="Y344" s="6">
        <v>5</v>
      </c>
    </row>
    <row r="345" spans="1:25">
      <c r="A345" t="s">
        <v>657</v>
      </c>
      <c r="B345" s="2">
        <v>45339</v>
      </c>
      <c r="C345">
        <v>2024</v>
      </c>
      <c r="D345" t="s">
        <v>26</v>
      </c>
      <c r="E345" t="s">
        <v>131</v>
      </c>
      <c r="F345" t="s">
        <v>28</v>
      </c>
      <c r="G345" t="s">
        <v>29</v>
      </c>
      <c r="H345" t="s">
        <v>60</v>
      </c>
      <c r="I345" t="s">
        <v>78</v>
      </c>
      <c r="J345" t="s">
        <v>99</v>
      </c>
      <c r="K345" t="s">
        <v>47</v>
      </c>
      <c r="L345" t="s">
        <v>114</v>
      </c>
      <c r="M345" t="s">
        <v>120</v>
      </c>
      <c r="N345" t="s">
        <v>36</v>
      </c>
      <c r="O345" s="3">
        <v>26.07</v>
      </c>
      <c r="P345">
        <v>12</v>
      </c>
      <c r="Q345" s="4">
        <v>0.05</v>
      </c>
      <c r="R345" s="3">
        <v>297.19800000000004</v>
      </c>
      <c r="S345" s="3">
        <v>10.9</v>
      </c>
      <c r="T345" s="3">
        <v>130.80000000000001</v>
      </c>
      <c r="U345" s="3">
        <v>166.39800000000002</v>
      </c>
      <c r="V345" s="5">
        <v>0.55988936668483635</v>
      </c>
      <c r="W345">
        <v>2</v>
      </c>
      <c r="X345" t="s">
        <v>37</v>
      </c>
      <c r="Y345" s="6">
        <v>4</v>
      </c>
    </row>
    <row r="346" spans="1:25">
      <c r="A346" t="s">
        <v>658</v>
      </c>
      <c r="B346" s="2">
        <v>45339</v>
      </c>
      <c r="C346">
        <v>2024</v>
      </c>
      <c r="D346" t="s">
        <v>26</v>
      </c>
      <c r="E346" t="s">
        <v>131</v>
      </c>
      <c r="F346" t="s">
        <v>39</v>
      </c>
      <c r="G346" t="s">
        <v>40</v>
      </c>
      <c r="H346" t="s">
        <v>41</v>
      </c>
      <c r="I346" t="s">
        <v>71</v>
      </c>
      <c r="J346" t="s">
        <v>659</v>
      </c>
      <c r="K346" t="s">
        <v>61</v>
      </c>
      <c r="L346" t="s">
        <v>84</v>
      </c>
      <c r="M346" t="s">
        <v>85</v>
      </c>
      <c r="N346" t="s">
        <v>36</v>
      </c>
      <c r="O346" s="3">
        <v>151.63999999999999</v>
      </c>
      <c r="P346">
        <v>2</v>
      </c>
      <c r="Q346" s="4">
        <v>0</v>
      </c>
      <c r="R346" s="3">
        <v>303.27999999999997</v>
      </c>
      <c r="S346" s="3">
        <v>70.87</v>
      </c>
      <c r="T346" s="3">
        <v>141.74</v>
      </c>
      <c r="U346" s="3">
        <v>161.53999999999996</v>
      </c>
      <c r="V346" s="5">
        <v>0.53264310208388277</v>
      </c>
      <c r="W346">
        <v>3</v>
      </c>
      <c r="X346" t="s">
        <v>37</v>
      </c>
      <c r="Y346" s="6">
        <v>4</v>
      </c>
    </row>
    <row r="347" spans="1:25">
      <c r="A347" t="s">
        <v>660</v>
      </c>
      <c r="B347" s="2">
        <v>45340</v>
      </c>
      <c r="C347">
        <v>2024</v>
      </c>
      <c r="D347" t="s">
        <v>26</v>
      </c>
      <c r="E347" t="s">
        <v>131</v>
      </c>
      <c r="F347" t="s">
        <v>65</v>
      </c>
      <c r="G347" t="s">
        <v>76</v>
      </c>
      <c r="H347" t="s">
        <v>126</v>
      </c>
      <c r="I347" t="s">
        <v>78</v>
      </c>
      <c r="J347" t="s">
        <v>661</v>
      </c>
      <c r="K347" t="s">
        <v>33</v>
      </c>
      <c r="L347" t="s">
        <v>88</v>
      </c>
      <c r="M347" t="s">
        <v>100</v>
      </c>
      <c r="N347" t="s">
        <v>57</v>
      </c>
      <c r="O347" s="3">
        <v>287.82</v>
      </c>
      <c r="P347">
        <v>1</v>
      </c>
      <c r="Q347" s="4">
        <v>0</v>
      </c>
      <c r="R347" s="3">
        <v>287.82</v>
      </c>
      <c r="S347" s="3">
        <v>151.76</v>
      </c>
      <c r="T347" s="3">
        <v>151.76</v>
      </c>
      <c r="U347" s="3">
        <v>136.06</v>
      </c>
      <c r="V347" s="5">
        <v>0.47272600931137521</v>
      </c>
      <c r="W347">
        <v>5</v>
      </c>
      <c r="X347" t="s">
        <v>37</v>
      </c>
      <c r="Y347" s="6">
        <v>5</v>
      </c>
    </row>
    <row r="348" spans="1:25">
      <c r="A348" t="s">
        <v>662</v>
      </c>
      <c r="B348" s="2">
        <v>45342</v>
      </c>
      <c r="C348">
        <v>2024</v>
      </c>
      <c r="D348" t="s">
        <v>26</v>
      </c>
      <c r="E348" t="s">
        <v>131</v>
      </c>
      <c r="F348" t="s">
        <v>39</v>
      </c>
      <c r="G348" t="s">
        <v>40</v>
      </c>
      <c r="H348" t="s">
        <v>41</v>
      </c>
      <c r="I348" t="s">
        <v>31</v>
      </c>
      <c r="J348" t="s">
        <v>472</v>
      </c>
      <c r="K348" t="s">
        <v>33</v>
      </c>
      <c r="L348" t="s">
        <v>34</v>
      </c>
      <c r="M348" t="s">
        <v>150</v>
      </c>
      <c r="N348" t="s">
        <v>36</v>
      </c>
      <c r="O348" s="3">
        <v>439.72</v>
      </c>
      <c r="P348">
        <v>5</v>
      </c>
      <c r="Q348" s="4">
        <v>0</v>
      </c>
      <c r="R348" s="3">
        <v>2198.6000000000004</v>
      </c>
      <c r="S348" s="3">
        <v>254.5</v>
      </c>
      <c r="T348" s="3">
        <v>1272.5</v>
      </c>
      <c r="U348" s="3">
        <v>926.10000000000036</v>
      </c>
      <c r="V348" s="5">
        <v>0.4212225961975804</v>
      </c>
      <c r="W348">
        <v>3</v>
      </c>
      <c r="X348" t="s">
        <v>37</v>
      </c>
      <c r="Y348" s="6">
        <v>5</v>
      </c>
    </row>
    <row r="349" spans="1:25">
      <c r="A349" t="s">
        <v>663</v>
      </c>
      <c r="B349" s="2">
        <v>45343</v>
      </c>
      <c r="C349">
        <v>2024</v>
      </c>
      <c r="D349" t="s">
        <v>26</v>
      </c>
      <c r="E349" t="s">
        <v>131</v>
      </c>
      <c r="F349" t="s">
        <v>39</v>
      </c>
      <c r="G349" t="s">
        <v>111</v>
      </c>
      <c r="H349" t="s">
        <v>112</v>
      </c>
      <c r="I349" t="s">
        <v>31</v>
      </c>
      <c r="J349" t="s">
        <v>504</v>
      </c>
      <c r="K349" t="s">
        <v>61</v>
      </c>
      <c r="L349" t="s">
        <v>84</v>
      </c>
      <c r="M349" t="s">
        <v>135</v>
      </c>
      <c r="N349" t="s">
        <v>44</v>
      </c>
      <c r="O349" s="3">
        <v>907.98</v>
      </c>
      <c r="P349">
        <v>3</v>
      </c>
      <c r="Q349" s="4">
        <v>0</v>
      </c>
      <c r="R349" s="3">
        <v>2723.94</v>
      </c>
      <c r="S349" s="3">
        <v>555.47</v>
      </c>
      <c r="T349" s="3">
        <v>1666.41</v>
      </c>
      <c r="U349" s="3">
        <v>1057.53</v>
      </c>
      <c r="V349" s="5">
        <v>0.38823542368774638</v>
      </c>
      <c r="W349">
        <v>5</v>
      </c>
      <c r="X349" t="s">
        <v>37</v>
      </c>
      <c r="Y349" s="6">
        <v>4</v>
      </c>
    </row>
    <row r="350" spans="1:25">
      <c r="A350" t="s">
        <v>664</v>
      </c>
      <c r="B350" s="2">
        <v>45345</v>
      </c>
      <c r="C350">
        <v>2024</v>
      </c>
      <c r="D350" t="s">
        <v>26</v>
      </c>
      <c r="E350" t="s">
        <v>131</v>
      </c>
      <c r="F350" t="s">
        <v>39</v>
      </c>
      <c r="G350" t="s">
        <v>91</v>
      </c>
      <c r="H350" t="s">
        <v>92</v>
      </c>
      <c r="I350" t="s">
        <v>78</v>
      </c>
      <c r="J350" t="s">
        <v>320</v>
      </c>
      <c r="K350" t="s">
        <v>33</v>
      </c>
      <c r="L350" t="s">
        <v>88</v>
      </c>
      <c r="M350" t="s">
        <v>100</v>
      </c>
      <c r="N350" t="s">
        <v>36</v>
      </c>
      <c r="O350" s="3">
        <v>311.5</v>
      </c>
      <c r="P350">
        <v>4</v>
      </c>
      <c r="Q350" s="4">
        <v>0.1</v>
      </c>
      <c r="R350" s="3">
        <v>1121.4000000000001</v>
      </c>
      <c r="S350" s="3">
        <v>152.44999999999999</v>
      </c>
      <c r="T350" s="3">
        <v>609.79999999999995</v>
      </c>
      <c r="U350" s="3">
        <v>511.60000000000014</v>
      </c>
      <c r="V350" s="5">
        <v>0.45621544497949001</v>
      </c>
      <c r="W350">
        <v>6</v>
      </c>
      <c r="X350" t="s">
        <v>37</v>
      </c>
      <c r="Y350" s="6">
        <v>5</v>
      </c>
    </row>
    <row r="351" spans="1:25">
      <c r="A351" t="s">
        <v>665</v>
      </c>
      <c r="B351" s="2">
        <v>45347</v>
      </c>
      <c r="C351">
        <v>2024</v>
      </c>
      <c r="D351" t="s">
        <v>26</v>
      </c>
      <c r="E351" t="s">
        <v>131</v>
      </c>
      <c r="F351" t="s">
        <v>28</v>
      </c>
      <c r="G351" t="s">
        <v>29</v>
      </c>
      <c r="H351" t="s">
        <v>60</v>
      </c>
      <c r="I351" t="s">
        <v>42</v>
      </c>
      <c r="J351" t="s">
        <v>666</v>
      </c>
      <c r="K351" t="s">
        <v>33</v>
      </c>
      <c r="L351" t="s">
        <v>34</v>
      </c>
      <c r="M351" t="s">
        <v>35</v>
      </c>
      <c r="N351" t="s">
        <v>57</v>
      </c>
      <c r="O351" s="3">
        <v>175.13</v>
      </c>
      <c r="P351">
        <v>4</v>
      </c>
      <c r="Q351" s="4">
        <v>0.2</v>
      </c>
      <c r="R351" s="3">
        <v>560.41600000000005</v>
      </c>
      <c r="S351" s="3">
        <v>91.62</v>
      </c>
      <c r="T351" s="3">
        <v>366.48</v>
      </c>
      <c r="U351" s="3">
        <v>193.93600000000004</v>
      </c>
      <c r="V351" s="5">
        <v>0.34605721464055278</v>
      </c>
      <c r="W351">
        <v>7</v>
      </c>
      <c r="X351" t="s">
        <v>37</v>
      </c>
      <c r="Y351" s="6">
        <v>4</v>
      </c>
    </row>
    <row r="352" spans="1:25">
      <c r="A352" t="s">
        <v>667</v>
      </c>
      <c r="B352" s="2">
        <v>45347</v>
      </c>
      <c r="C352">
        <v>2024</v>
      </c>
      <c r="D352" t="s">
        <v>26</v>
      </c>
      <c r="E352" t="s">
        <v>131</v>
      </c>
      <c r="F352" t="s">
        <v>28</v>
      </c>
      <c r="G352" t="s">
        <v>29</v>
      </c>
      <c r="H352" t="s">
        <v>60</v>
      </c>
      <c r="I352" t="s">
        <v>31</v>
      </c>
      <c r="J352" t="s">
        <v>464</v>
      </c>
      <c r="K352" t="s">
        <v>33</v>
      </c>
      <c r="L352" t="s">
        <v>88</v>
      </c>
      <c r="M352" t="s">
        <v>89</v>
      </c>
      <c r="N352" t="s">
        <v>36</v>
      </c>
      <c r="O352" s="3">
        <v>245.56</v>
      </c>
      <c r="P352">
        <v>5</v>
      </c>
      <c r="Q352" s="4">
        <v>0</v>
      </c>
      <c r="R352" s="3">
        <v>1227.8</v>
      </c>
      <c r="S352" s="3">
        <v>126.15</v>
      </c>
      <c r="T352" s="3">
        <v>630.75</v>
      </c>
      <c r="U352" s="3">
        <v>597.04999999999995</v>
      </c>
      <c r="V352" s="5">
        <v>0.48627626649291411</v>
      </c>
      <c r="W352">
        <v>2</v>
      </c>
      <c r="X352" t="s">
        <v>37</v>
      </c>
      <c r="Y352" s="6">
        <v>5</v>
      </c>
    </row>
    <row r="353" spans="1:25">
      <c r="A353" t="s">
        <v>668</v>
      </c>
      <c r="B353" s="2">
        <v>45347</v>
      </c>
      <c r="C353">
        <v>2024</v>
      </c>
      <c r="D353" t="s">
        <v>26</v>
      </c>
      <c r="E353" t="s">
        <v>131</v>
      </c>
      <c r="F353" t="s">
        <v>39</v>
      </c>
      <c r="G353" t="s">
        <v>111</v>
      </c>
      <c r="H353" t="s">
        <v>112</v>
      </c>
      <c r="I353" t="s">
        <v>42</v>
      </c>
      <c r="J353" t="s">
        <v>72</v>
      </c>
      <c r="K353" t="s">
        <v>33</v>
      </c>
      <c r="L353" t="s">
        <v>88</v>
      </c>
      <c r="M353" t="s">
        <v>100</v>
      </c>
      <c r="N353" t="s">
        <v>57</v>
      </c>
      <c r="O353" s="3">
        <v>309.95999999999998</v>
      </c>
      <c r="P353">
        <v>5</v>
      </c>
      <c r="Q353" s="4">
        <v>0</v>
      </c>
      <c r="R353" s="3">
        <v>1549.8</v>
      </c>
      <c r="S353" s="3">
        <v>153.32</v>
      </c>
      <c r="T353" s="3">
        <v>766.59999999999991</v>
      </c>
      <c r="U353" s="3">
        <v>783.2</v>
      </c>
      <c r="V353" s="5">
        <v>0.50535552974577369</v>
      </c>
      <c r="W353">
        <v>6</v>
      </c>
      <c r="X353" t="s">
        <v>37</v>
      </c>
      <c r="Y353" s="6">
        <v>4</v>
      </c>
    </row>
    <row r="354" spans="1:25">
      <c r="A354" t="s">
        <v>669</v>
      </c>
      <c r="B354" s="2">
        <v>45350</v>
      </c>
      <c r="C354">
        <v>2024</v>
      </c>
      <c r="D354" t="s">
        <v>26</v>
      </c>
      <c r="E354" t="s">
        <v>131</v>
      </c>
      <c r="F354" t="s">
        <v>39</v>
      </c>
      <c r="G354" t="s">
        <v>40</v>
      </c>
      <c r="H354" t="s">
        <v>41</v>
      </c>
      <c r="I354" t="s">
        <v>78</v>
      </c>
      <c r="J354" t="s">
        <v>670</v>
      </c>
      <c r="K354" t="s">
        <v>33</v>
      </c>
      <c r="L354" t="s">
        <v>88</v>
      </c>
      <c r="M354" t="s">
        <v>89</v>
      </c>
      <c r="N354" t="s">
        <v>44</v>
      </c>
      <c r="O354" s="3">
        <v>260.35000000000002</v>
      </c>
      <c r="P354">
        <v>5</v>
      </c>
      <c r="Q354" s="4">
        <v>0.15</v>
      </c>
      <c r="R354" s="3">
        <v>1106.4875</v>
      </c>
      <c r="S354" s="3">
        <v>132.12</v>
      </c>
      <c r="T354" s="3">
        <v>660.6</v>
      </c>
      <c r="U354" s="3">
        <v>445.88749999999993</v>
      </c>
      <c r="V354" s="5">
        <v>0.40297563235011685</v>
      </c>
      <c r="W354">
        <v>3</v>
      </c>
      <c r="X354" t="s">
        <v>37</v>
      </c>
      <c r="Y354" s="6">
        <v>4</v>
      </c>
    </row>
    <row r="355" spans="1:25">
      <c r="A355" t="s">
        <v>671</v>
      </c>
      <c r="B355" s="2">
        <v>45350</v>
      </c>
      <c r="C355">
        <v>2024</v>
      </c>
      <c r="D355" t="s">
        <v>26</v>
      </c>
      <c r="E355" t="s">
        <v>131</v>
      </c>
      <c r="F355" t="s">
        <v>51</v>
      </c>
      <c r="G355" t="s">
        <v>52</v>
      </c>
      <c r="H355" t="s">
        <v>53</v>
      </c>
      <c r="I355" t="s">
        <v>42</v>
      </c>
      <c r="J355" t="s">
        <v>381</v>
      </c>
      <c r="K355" t="s">
        <v>61</v>
      </c>
      <c r="L355" t="s">
        <v>80</v>
      </c>
      <c r="M355" t="s">
        <v>187</v>
      </c>
      <c r="N355" t="s">
        <v>57</v>
      </c>
      <c r="O355" s="3">
        <v>1301.46</v>
      </c>
      <c r="P355">
        <v>2</v>
      </c>
      <c r="Q355" s="4">
        <v>0</v>
      </c>
      <c r="R355" s="3">
        <v>2602.92</v>
      </c>
      <c r="S355" s="3">
        <v>875</v>
      </c>
      <c r="T355" s="3">
        <v>1750</v>
      </c>
      <c r="U355" s="3">
        <v>852.92000000000007</v>
      </c>
      <c r="V355" s="5">
        <v>0.32767814608209245</v>
      </c>
      <c r="W355">
        <v>10</v>
      </c>
      <c r="X355" t="s">
        <v>37</v>
      </c>
      <c r="Y355" s="6">
        <v>4</v>
      </c>
    </row>
    <row r="356" spans="1:25">
      <c r="A356" t="s">
        <v>672</v>
      </c>
      <c r="B356" s="2">
        <v>45355</v>
      </c>
      <c r="C356">
        <v>2024</v>
      </c>
      <c r="D356" t="s">
        <v>26</v>
      </c>
      <c r="E356" t="s">
        <v>163</v>
      </c>
      <c r="F356" t="s">
        <v>39</v>
      </c>
      <c r="G356" t="s">
        <v>91</v>
      </c>
      <c r="H356" t="s">
        <v>92</v>
      </c>
      <c r="I356" t="s">
        <v>42</v>
      </c>
      <c r="J356" t="s">
        <v>673</v>
      </c>
      <c r="K356" t="s">
        <v>33</v>
      </c>
      <c r="L356" t="s">
        <v>34</v>
      </c>
      <c r="M356" t="s">
        <v>35</v>
      </c>
      <c r="N356" t="s">
        <v>44</v>
      </c>
      <c r="O356" s="3">
        <v>176.44</v>
      </c>
      <c r="P356">
        <v>4</v>
      </c>
      <c r="Q356" s="4">
        <v>0</v>
      </c>
      <c r="R356" s="3">
        <v>705.76</v>
      </c>
      <c r="S356" s="3">
        <v>89.94</v>
      </c>
      <c r="T356" s="3">
        <v>359.76</v>
      </c>
      <c r="U356" s="3">
        <v>346</v>
      </c>
      <c r="V356" s="5">
        <v>0.49025164361822715</v>
      </c>
      <c r="W356">
        <v>7</v>
      </c>
      <c r="X356" t="s">
        <v>37</v>
      </c>
      <c r="Y356" s="6">
        <v>4</v>
      </c>
    </row>
    <row r="357" spans="1:25">
      <c r="A357" t="s">
        <v>674</v>
      </c>
      <c r="B357" s="2">
        <v>45356</v>
      </c>
      <c r="C357">
        <v>2024</v>
      </c>
      <c r="D357" t="s">
        <v>26</v>
      </c>
      <c r="E357" t="s">
        <v>163</v>
      </c>
      <c r="F357" t="s">
        <v>39</v>
      </c>
      <c r="G357" t="s">
        <v>111</v>
      </c>
      <c r="H357" t="s">
        <v>112</v>
      </c>
      <c r="I357" t="s">
        <v>31</v>
      </c>
      <c r="J357" t="s">
        <v>454</v>
      </c>
      <c r="K357" t="s">
        <v>33</v>
      </c>
      <c r="L357" t="s">
        <v>88</v>
      </c>
      <c r="M357" t="s">
        <v>89</v>
      </c>
      <c r="N357" t="s">
        <v>44</v>
      </c>
      <c r="O357" s="3">
        <v>260.81</v>
      </c>
      <c r="P357">
        <v>5</v>
      </c>
      <c r="Q357" s="4">
        <v>0</v>
      </c>
      <c r="R357" s="3">
        <v>1304.05</v>
      </c>
      <c r="S357" s="3">
        <v>131.99</v>
      </c>
      <c r="T357" s="3">
        <v>659.95</v>
      </c>
      <c r="U357" s="3">
        <v>644.09999999999991</v>
      </c>
      <c r="V357" s="5">
        <v>0.49392277903454618</v>
      </c>
      <c r="W357">
        <v>5</v>
      </c>
      <c r="X357" t="s">
        <v>37</v>
      </c>
      <c r="Y357" s="6">
        <v>5</v>
      </c>
    </row>
    <row r="358" spans="1:25">
      <c r="A358" t="s">
        <v>675</v>
      </c>
      <c r="B358" s="2">
        <v>45360</v>
      </c>
      <c r="C358">
        <v>2024</v>
      </c>
      <c r="D358" t="s">
        <v>26</v>
      </c>
      <c r="E358" t="s">
        <v>163</v>
      </c>
      <c r="F358" t="s">
        <v>51</v>
      </c>
      <c r="G358" t="s">
        <v>97</v>
      </c>
      <c r="H358" t="s">
        <v>98</v>
      </c>
      <c r="I358" t="s">
        <v>31</v>
      </c>
      <c r="J358" t="s">
        <v>676</v>
      </c>
      <c r="K358" t="s">
        <v>33</v>
      </c>
      <c r="L358" t="s">
        <v>88</v>
      </c>
      <c r="M358" t="s">
        <v>89</v>
      </c>
      <c r="N358" t="s">
        <v>57</v>
      </c>
      <c r="O358" s="3">
        <v>240.59</v>
      </c>
      <c r="P358">
        <v>2</v>
      </c>
      <c r="Q358" s="4">
        <v>0.2</v>
      </c>
      <c r="R358" s="3">
        <v>384.94400000000002</v>
      </c>
      <c r="S358" s="3">
        <v>128.99</v>
      </c>
      <c r="T358" s="3">
        <v>257.98</v>
      </c>
      <c r="U358" s="3">
        <v>126.964</v>
      </c>
      <c r="V358" s="5">
        <v>0.32982459786358531</v>
      </c>
      <c r="W358">
        <v>8</v>
      </c>
      <c r="X358" t="s">
        <v>37</v>
      </c>
      <c r="Y358" s="6">
        <v>4</v>
      </c>
    </row>
    <row r="359" spans="1:25">
      <c r="A359" t="s">
        <v>677</v>
      </c>
      <c r="B359" s="2">
        <v>45361</v>
      </c>
      <c r="C359">
        <v>2024</v>
      </c>
      <c r="D359" t="s">
        <v>26</v>
      </c>
      <c r="E359" t="s">
        <v>163</v>
      </c>
      <c r="F359" t="s">
        <v>65</v>
      </c>
      <c r="G359" t="s">
        <v>66</v>
      </c>
      <c r="H359" t="s">
        <v>67</v>
      </c>
      <c r="I359" t="s">
        <v>31</v>
      </c>
      <c r="J359" t="s">
        <v>621</v>
      </c>
      <c r="K359" t="s">
        <v>47</v>
      </c>
      <c r="L359" t="s">
        <v>48</v>
      </c>
      <c r="M359" t="s">
        <v>49</v>
      </c>
      <c r="N359" t="s">
        <v>44</v>
      </c>
      <c r="O359" s="3">
        <v>31.52</v>
      </c>
      <c r="P359">
        <v>9</v>
      </c>
      <c r="Q359" s="4">
        <v>0.2</v>
      </c>
      <c r="R359" s="3">
        <v>226.94400000000002</v>
      </c>
      <c r="S359" s="3">
        <v>13.61</v>
      </c>
      <c r="T359" s="3">
        <v>122.49</v>
      </c>
      <c r="U359" s="3">
        <v>104.45400000000002</v>
      </c>
      <c r="V359" s="5">
        <v>0.46026332487309651</v>
      </c>
      <c r="W359">
        <v>3</v>
      </c>
      <c r="X359" t="s">
        <v>37</v>
      </c>
      <c r="Y359" s="6">
        <v>4</v>
      </c>
    </row>
    <row r="360" spans="1:25">
      <c r="A360" t="s">
        <v>678</v>
      </c>
      <c r="B360" s="2">
        <v>45361</v>
      </c>
      <c r="C360">
        <v>2024</v>
      </c>
      <c r="D360" t="s">
        <v>26</v>
      </c>
      <c r="E360" t="s">
        <v>163</v>
      </c>
      <c r="F360" t="s">
        <v>39</v>
      </c>
      <c r="G360" t="s">
        <v>111</v>
      </c>
      <c r="H360" t="s">
        <v>112</v>
      </c>
      <c r="I360" t="s">
        <v>42</v>
      </c>
      <c r="J360" t="s">
        <v>268</v>
      </c>
      <c r="K360" t="s">
        <v>33</v>
      </c>
      <c r="L360" t="s">
        <v>34</v>
      </c>
      <c r="M360" t="s">
        <v>150</v>
      </c>
      <c r="N360" t="s">
        <v>57</v>
      </c>
      <c r="O360" s="3">
        <v>435.3</v>
      </c>
      <c r="P360">
        <v>4</v>
      </c>
      <c r="Q360" s="4">
        <v>0.2</v>
      </c>
      <c r="R360" s="3">
        <v>1392.96</v>
      </c>
      <c r="S360" s="3">
        <v>250.43</v>
      </c>
      <c r="T360" s="3">
        <v>1001.72</v>
      </c>
      <c r="U360" s="3">
        <v>391.24</v>
      </c>
      <c r="V360" s="5">
        <v>0.28086951527682058</v>
      </c>
      <c r="W360">
        <v>3</v>
      </c>
      <c r="X360" t="s">
        <v>37</v>
      </c>
      <c r="Y360" s="6">
        <v>4</v>
      </c>
    </row>
    <row r="361" spans="1:25">
      <c r="A361" t="s">
        <v>679</v>
      </c>
      <c r="B361" s="2">
        <v>45364</v>
      </c>
      <c r="C361">
        <v>2024</v>
      </c>
      <c r="D361" t="s">
        <v>26</v>
      </c>
      <c r="E361" t="s">
        <v>163</v>
      </c>
      <c r="F361" t="s">
        <v>65</v>
      </c>
      <c r="G361" t="s">
        <v>66</v>
      </c>
      <c r="H361" t="s">
        <v>67</v>
      </c>
      <c r="I361" t="s">
        <v>31</v>
      </c>
      <c r="J361" t="s">
        <v>639</v>
      </c>
      <c r="K361" t="s">
        <v>61</v>
      </c>
      <c r="L361" t="s">
        <v>80</v>
      </c>
      <c r="M361" t="s">
        <v>81</v>
      </c>
      <c r="N361" t="s">
        <v>36</v>
      </c>
      <c r="O361" s="3">
        <v>1043.5999999999999</v>
      </c>
      <c r="P361">
        <v>3</v>
      </c>
      <c r="Q361" s="4">
        <v>0.15</v>
      </c>
      <c r="R361" s="3">
        <v>2661.18</v>
      </c>
      <c r="S361" s="3">
        <v>642.28</v>
      </c>
      <c r="T361" s="3">
        <v>1926.84</v>
      </c>
      <c r="U361" s="3">
        <v>734.33999999999992</v>
      </c>
      <c r="V361" s="5">
        <v>0.27594525736703268</v>
      </c>
      <c r="W361">
        <v>7</v>
      </c>
      <c r="X361" t="s">
        <v>37</v>
      </c>
      <c r="Y361" s="6">
        <v>4</v>
      </c>
    </row>
    <row r="362" spans="1:25">
      <c r="A362" t="s">
        <v>680</v>
      </c>
      <c r="B362" s="2">
        <v>45364</v>
      </c>
      <c r="C362">
        <v>2024</v>
      </c>
      <c r="D362" t="s">
        <v>26</v>
      </c>
      <c r="E362" t="s">
        <v>163</v>
      </c>
      <c r="F362" t="s">
        <v>65</v>
      </c>
      <c r="G362" t="s">
        <v>76</v>
      </c>
      <c r="H362" t="s">
        <v>126</v>
      </c>
      <c r="I362" t="s">
        <v>42</v>
      </c>
      <c r="J362" t="s">
        <v>681</v>
      </c>
      <c r="K362" t="s">
        <v>61</v>
      </c>
      <c r="L362" t="s">
        <v>62</v>
      </c>
      <c r="M362" t="s">
        <v>63</v>
      </c>
      <c r="N362" t="s">
        <v>57</v>
      </c>
      <c r="O362" s="3">
        <v>87.62</v>
      </c>
      <c r="P362">
        <v>1</v>
      </c>
      <c r="Q362" s="4">
        <v>0</v>
      </c>
      <c r="R362" s="3">
        <v>87.62</v>
      </c>
      <c r="S362" s="3">
        <v>44.11</v>
      </c>
      <c r="T362" s="3">
        <v>44.11</v>
      </c>
      <c r="U362" s="3">
        <v>43.510000000000005</v>
      </c>
      <c r="V362" s="5">
        <v>0.49657612417256336</v>
      </c>
      <c r="W362">
        <v>1</v>
      </c>
      <c r="X362" t="s">
        <v>37</v>
      </c>
      <c r="Y362" s="6">
        <v>5</v>
      </c>
    </row>
    <row r="363" spans="1:25">
      <c r="A363" t="s">
        <v>682</v>
      </c>
      <c r="B363" s="2">
        <v>45364</v>
      </c>
      <c r="C363">
        <v>2024</v>
      </c>
      <c r="D363" t="s">
        <v>26</v>
      </c>
      <c r="E363" t="s">
        <v>163</v>
      </c>
      <c r="F363" t="s">
        <v>51</v>
      </c>
      <c r="G363" t="s">
        <v>52</v>
      </c>
      <c r="H363" t="s">
        <v>53</v>
      </c>
      <c r="I363" t="s">
        <v>42</v>
      </c>
      <c r="J363" t="s">
        <v>683</v>
      </c>
      <c r="K363" t="s">
        <v>33</v>
      </c>
      <c r="L363" t="s">
        <v>88</v>
      </c>
      <c r="M363" t="s">
        <v>100</v>
      </c>
      <c r="N363" t="s">
        <v>44</v>
      </c>
      <c r="O363" s="3">
        <v>307.89</v>
      </c>
      <c r="P363">
        <v>4</v>
      </c>
      <c r="Q363" s="4">
        <v>0</v>
      </c>
      <c r="R363" s="3">
        <v>1231.56</v>
      </c>
      <c r="S363" s="3">
        <v>150.78</v>
      </c>
      <c r="T363" s="3">
        <v>603.12</v>
      </c>
      <c r="U363" s="3">
        <v>628.43999999999994</v>
      </c>
      <c r="V363" s="5">
        <v>0.51027964532787684</v>
      </c>
      <c r="W363">
        <v>1</v>
      </c>
      <c r="X363" t="s">
        <v>37</v>
      </c>
      <c r="Y363" s="6">
        <v>5</v>
      </c>
    </row>
    <row r="364" spans="1:25">
      <c r="A364" t="s">
        <v>684</v>
      </c>
      <c r="B364" s="2">
        <v>45369</v>
      </c>
      <c r="C364">
        <v>2024</v>
      </c>
      <c r="D364" t="s">
        <v>26</v>
      </c>
      <c r="E364" t="s">
        <v>163</v>
      </c>
      <c r="F364" t="s">
        <v>28</v>
      </c>
      <c r="G364" t="s">
        <v>29</v>
      </c>
      <c r="H364" t="s">
        <v>60</v>
      </c>
      <c r="I364" t="s">
        <v>31</v>
      </c>
      <c r="J364" t="s">
        <v>300</v>
      </c>
      <c r="K364" t="s">
        <v>47</v>
      </c>
      <c r="L364" t="s">
        <v>48</v>
      </c>
      <c r="M364" t="s">
        <v>104</v>
      </c>
      <c r="N364" t="s">
        <v>36</v>
      </c>
      <c r="O364" s="3">
        <v>53.57</v>
      </c>
      <c r="P364">
        <v>6</v>
      </c>
      <c r="Q364" s="4">
        <v>0</v>
      </c>
      <c r="R364" s="3">
        <v>321.42</v>
      </c>
      <c r="S364" s="3">
        <v>30.46</v>
      </c>
      <c r="T364" s="3">
        <v>182.76</v>
      </c>
      <c r="U364" s="3">
        <v>138.66000000000003</v>
      </c>
      <c r="V364" s="5">
        <v>0.43139817061788321</v>
      </c>
      <c r="W364">
        <v>4</v>
      </c>
      <c r="X364" t="s">
        <v>37</v>
      </c>
      <c r="Y364" s="6">
        <v>4</v>
      </c>
    </row>
    <row r="365" spans="1:25">
      <c r="A365" t="s">
        <v>685</v>
      </c>
      <c r="B365" s="2">
        <v>45371</v>
      </c>
      <c r="C365">
        <v>2024</v>
      </c>
      <c r="D365" t="s">
        <v>26</v>
      </c>
      <c r="E365" t="s">
        <v>163</v>
      </c>
      <c r="F365" t="s">
        <v>39</v>
      </c>
      <c r="G365" t="s">
        <v>111</v>
      </c>
      <c r="H365" t="s">
        <v>112</v>
      </c>
      <c r="I365" t="s">
        <v>42</v>
      </c>
      <c r="J365" t="s">
        <v>344</v>
      </c>
      <c r="K365" t="s">
        <v>61</v>
      </c>
      <c r="L365" t="s">
        <v>80</v>
      </c>
      <c r="M365" t="s">
        <v>81</v>
      </c>
      <c r="N365" t="s">
        <v>44</v>
      </c>
      <c r="O365" s="3">
        <v>1038.81</v>
      </c>
      <c r="P365">
        <v>3</v>
      </c>
      <c r="Q365" s="4">
        <v>0.2</v>
      </c>
      <c r="R365" s="3">
        <v>2493.1440000000002</v>
      </c>
      <c r="S365" s="3">
        <v>679.7</v>
      </c>
      <c r="T365" s="3">
        <v>2039.1000000000001</v>
      </c>
      <c r="U365" s="3">
        <v>454.0440000000001</v>
      </c>
      <c r="V365" s="5">
        <v>0.18211703776436503</v>
      </c>
      <c r="W365">
        <v>2</v>
      </c>
      <c r="X365" t="s">
        <v>37</v>
      </c>
      <c r="Y365" s="6">
        <v>5</v>
      </c>
    </row>
    <row r="366" spans="1:25">
      <c r="A366" t="s">
        <v>686</v>
      </c>
      <c r="B366" s="2">
        <v>45372</v>
      </c>
      <c r="C366">
        <v>2024</v>
      </c>
      <c r="D366" t="s">
        <v>26</v>
      </c>
      <c r="E366" t="s">
        <v>163</v>
      </c>
      <c r="F366" t="s">
        <v>65</v>
      </c>
      <c r="G366" t="s">
        <v>76</v>
      </c>
      <c r="H366" t="s">
        <v>77</v>
      </c>
      <c r="I366" t="s">
        <v>71</v>
      </c>
      <c r="J366" t="s">
        <v>594</v>
      </c>
      <c r="K366" t="s">
        <v>47</v>
      </c>
      <c r="L366" t="s">
        <v>48</v>
      </c>
      <c r="M366" t="s">
        <v>49</v>
      </c>
      <c r="N366" t="s">
        <v>57</v>
      </c>
      <c r="O366" s="3">
        <v>33.369999999999997</v>
      </c>
      <c r="P366">
        <v>2</v>
      </c>
      <c r="Q366" s="4">
        <v>0</v>
      </c>
      <c r="R366" s="3">
        <v>66.739999999999995</v>
      </c>
      <c r="S366" s="3">
        <v>13.97</v>
      </c>
      <c r="T366" s="3">
        <v>27.94</v>
      </c>
      <c r="U366" s="3">
        <v>38.799999999999997</v>
      </c>
      <c r="V366" s="5">
        <v>0.58136050344620915</v>
      </c>
      <c r="W366">
        <v>3</v>
      </c>
      <c r="X366" t="s">
        <v>37</v>
      </c>
      <c r="Y366" s="6">
        <v>5</v>
      </c>
    </row>
    <row r="367" spans="1:25">
      <c r="A367" t="s">
        <v>687</v>
      </c>
      <c r="B367" s="2">
        <v>45372</v>
      </c>
      <c r="C367">
        <v>2024</v>
      </c>
      <c r="D367" t="s">
        <v>26</v>
      </c>
      <c r="E367" t="s">
        <v>163</v>
      </c>
      <c r="F367" t="s">
        <v>51</v>
      </c>
      <c r="G367" t="s">
        <v>52</v>
      </c>
      <c r="H367" t="s">
        <v>53</v>
      </c>
      <c r="I367" t="s">
        <v>71</v>
      </c>
      <c r="J367" t="s">
        <v>367</v>
      </c>
      <c r="K367" t="s">
        <v>47</v>
      </c>
      <c r="L367" t="s">
        <v>114</v>
      </c>
      <c r="M367" t="s">
        <v>120</v>
      </c>
      <c r="N367" t="s">
        <v>44</v>
      </c>
      <c r="O367" s="3">
        <v>26.57</v>
      </c>
      <c r="P367">
        <v>12</v>
      </c>
      <c r="Q367" s="4">
        <v>0.05</v>
      </c>
      <c r="R367" s="3">
        <v>302.89800000000002</v>
      </c>
      <c r="S367" s="3">
        <v>10.76</v>
      </c>
      <c r="T367" s="3">
        <v>129.12</v>
      </c>
      <c r="U367" s="3">
        <v>173.77800000000002</v>
      </c>
      <c r="V367" s="5">
        <v>0.57371788522869083</v>
      </c>
      <c r="W367">
        <v>2</v>
      </c>
      <c r="X367" t="s">
        <v>37</v>
      </c>
      <c r="Y367" s="6">
        <v>5</v>
      </c>
    </row>
    <row r="368" spans="1:25">
      <c r="A368" t="s">
        <v>688</v>
      </c>
      <c r="B368" s="2">
        <v>45373</v>
      </c>
      <c r="C368">
        <v>2024</v>
      </c>
      <c r="D368" t="s">
        <v>26</v>
      </c>
      <c r="E368" t="s">
        <v>163</v>
      </c>
      <c r="F368" t="s">
        <v>51</v>
      </c>
      <c r="G368" t="s">
        <v>52</v>
      </c>
      <c r="H368" t="s">
        <v>102</v>
      </c>
      <c r="I368" t="s">
        <v>71</v>
      </c>
      <c r="J368" t="s">
        <v>225</v>
      </c>
      <c r="K368" t="s">
        <v>33</v>
      </c>
      <c r="L368" t="s">
        <v>73</v>
      </c>
      <c r="M368" t="s">
        <v>74</v>
      </c>
      <c r="N368" t="s">
        <v>44</v>
      </c>
      <c r="O368" s="3">
        <v>719.37</v>
      </c>
      <c r="P368">
        <v>2</v>
      </c>
      <c r="Q368" s="4">
        <v>0.05</v>
      </c>
      <c r="R368" s="3">
        <v>1366.8029999999999</v>
      </c>
      <c r="S368" s="3">
        <v>417.79</v>
      </c>
      <c r="T368" s="3">
        <v>835.58</v>
      </c>
      <c r="U368" s="3">
        <v>531.22299999999984</v>
      </c>
      <c r="V368" s="5">
        <v>0.38866098479444361</v>
      </c>
      <c r="W368">
        <v>6</v>
      </c>
      <c r="X368" t="s">
        <v>37</v>
      </c>
      <c r="Y368" s="6">
        <v>4</v>
      </c>
    </row>
    <row r="369" spans="1:25">
      <c r="A369" t="s">
        <v>689</v>
      </c>
      <c r="B369" s="2">
        <v>45374</v>
      </c>
      <c r="C369">
        <v>2024</v>
      </c>
      <c r="D369" t="s">
        <v>26</v>
      </c>
      <c r="E369" t="s">
        <v>163</v>
      </c>
      <c r="F369" t="s">
        <v>65</v>
      </c>
      <c r="G369" t="s">
        <v>66</v>
      </c>
      <c r="H369" t="s">
        <v>67</v>
      </c>
      <c r="I369" t="s">
        <v>42</v>
      </c>
      <c r="J369" t="s">
        <v>690</v>
      </c>
      <c r="K369" t="s">
        <v>61</v>
      </c>
      <c r="L369" t="s">
        <v>62</v>
      </c>
      <c r="M369" t="s">
        <v>63</v>
      </c>
      <c r="N369" t="s">
        <v>57</v>
      </c>
      <c r="O369" s="3">
        <v>91.5</v>
      </c>
      <c r="P369">
        <v>2</v>
      </c>
      <c r="Q369" s="4">
        <v>0.15</v>
      </c>
      <c r="R369" s="3">
        <v>155.54999999999998</v>
      </c>
      <c r="S369" s="3">
        <v>44.56</v>
      </c>
      <c r="T369" s="3">
        <v>89.12</v>
      </c>
      <c r="U369" s="3">
        <v>66.429999999999978</v>
      </c>
      <c r="V369" s="5">
        <v>0.42706525233044029</v>
      </c>
      <c r="W369">
        <v>2</v>
      </c>
      <c r="X369" t="s">
        <v>37</v>
      </c>
      <c r="Y369" s="6">
        <v>5</v>
      </c>
    </row>
    <row r="370" spans="1:25">
      <c r="A370" t="s">
        <v>691</v>
      </c>
      <c r="B370" s="2">
        <v>45374</v>
      </c>
      <c r="C370">
        <v>2024</v>
      </c>
      <c r="D370" t="s">
        <v>26</v>
      </c>
      <c r="E370" t="s">
        <v>163</v>
      </c>
      <c r="F370" t="s">
        <v>51</v>
      </c>
      <c r="G370" t="s">
        <v>52</v>
      </c>
      <c r="H370" t="s">
        <v>102</v>
      </c>
      <c r="I370" t="s">
        <v>78</v>
      </c>
      <c r="J370" t="s">
        <v>692</v>
      </c>
      <c r="K370" t="s">
        <v>61</v>
      </c>
      <c r="L370" t="s">
        <v>62</v>
      </c>
      <c r="M370" t="s">
        <v>63</v>
      </c>
      <c r="N370" t="s">
        <v>36</v>
      </c>
      <c r="O370" s="3">
        <v>88.76</v>
      </c>
      <c r="P370">
        <v>4</v>
      </c>
      <c r="Q370" s="4">
        <v>0.2</v>
      </c>
      <c r="R370" s="3">
        <v>284.03200000000004</v>
      </c>
      <c r="S370" s="3">
        <v>44.12</v>
      </c>
      <c r="T370" s="3">
        <v>176.48</v>
      </c>
      <c r="U370" s="3">
        <v>107.55200000000005</v>
      </c>
      <c r="V370" s="5">
        <v>0.37866155926092848</v>
      </c>
      <c r="W370">
        <v>8</v>
      </c>
      <c r="X370" t="s">
        <v>37</v>
      </c>
      <c r="Y370" s="6">
        <v>4</v>
      </c>
    </row>
    <row r="371" spans="1:25">
      <c r="A371" t="s">
        <v>693</v>
      </c>
      <c r="B371" s="2">
        <v>45375</v>
      </c>
      <c r="C371">
        <v>2024</v>
      </c>
      <c r="D371" t="s">
        <v>26</v>
      </c>
      <c r="E371" t="s">
        <v>163</v>
      </c>
      <c r="F371" t="s">
        <v>65</v>
      </c>
      <c r="G371" t="s">
        <v>76</v>
      </c>
      <c r="H371" t="s">
        <v>77</v>
      </c>
      <c r="I371" t="s">
        <v>42</v>
      </c>
      <c r="J371" t="s">
        <v>643</v>
      </c>
      <c r="K371" t="s">
        <v>33</v>
      </c>
      <c r="L371" t="s">
        <v>73</v>
      </c>
      <c r="M371" t="s">
        <v>138</v>
      </c>
      <c r="N371" t="s">
        <v>36</v>
      </c>
      <c r="O371" s="3">
        <v>344.29</v>
      </c>
      <c r="P371">
        <v>4</v>
      </c>
      <c r="Q371" s="4">
        <v>0.05</v>
      </c>
      <c r="R371" s="3">
        <v>1308.3019999999999</v>
      </c>
      <c r="S371" s="3">
        <v>177.9</v>
      </c>
      <c r="T371" s="3">
        <v>711.6</v>
      </c>
      <c r="U371" s="3">
        <v>596.70199999999988</v>
      </c>
      <c r="V371" s="5">
        <v>0.45608888467647374</v>
      </c>
      <c r="W371">
        <v>3</v>
      </c>
      <c r="X371" t="s">
        <v>58</v>
      </c>
      <c r="Y371" s="6">
        <v>4</v>
      </c>
    </row>
    <row r="372" spans="1:25">
      <c r="A372" t="s">
        <v>694</v>
      </c>
      <c r="B372" s="2">
        <v>45376</v>
      </c>
      <c r="C372">
        <v>2024</v>
      </c>
      <c r="D372" t="s">
        <v>26</v>
      </c>
      <c r="E372" t="s">
        <v>163</v>
      </c>
      <c r="F372" t="s">
        <v>39</v>
      </c>
      <c r="G372" t="s">
        <v>91</v>
      </c>
      <c r="H372" t="s">
        <v>92</v>
      </c>
      <c r="I372" t="s">
        <v>31</v>
      </c>
      <c r="J372" t="s">
        <v>695</v>
      </c>
      <c r="K372" t="s">
        <v>33</v>
      </c>
      <c r="L372" t="s">
        <v>34</v>
      </c>
      <c r="M372" t="s">
        <v>35</v>
      </c>
      <c r="N372" t="s">
        <v>44</v>
      </c>
      <c r="O372" s="3">
        <v>178.52</v>
      </c>
      <c r="P372">
        <v>1</v>
      </c>
      <c r="Q372" s="4">
        <v>0.2</v>
      </c>
      <c r="R372" s="3">
        <v>142.816</v>
      </c>
      <c r="S372" s="3">
        <v>93.39</v>
      </c>
      <c r="T372" s="3">
        <v>93.39</v>
      </c>
      <c r="U372" s="3">
        <v>49.426000000000002</v>
      </c>
      <c r="V372" s="5">
        <v>0.34608167152139818</v>
      </c>
      <c r="W372">
        <v>4</v>
      </c>
      <c r="X372" t="s">
        <v>37</v>
      </c>
      <c r="Y372" s="6">
        <v>5</v>
      </c>
    </row>
    <row r="373" spans="1:25">
      <c r="A373" t="s">
        <v>696</v>
      </c>
      <c r="B373" s="2">
        <v>45378</v>
      </c>
      <c r="C373">
        <v>2024</v>
      </c>
      <c r="D373" t="s">
        <v>26</v>
      </c>
      <c r="E373" t="s">
        <v>163</v>
      </c>
      <c r="F373" t="s">
        <v>28</v>
      </c>
      <c r="G373" t="s">
        <v>29</v>
      </c>
      <c r="H373" t="s">
        <v>30</v>
      </c>
      <c r="I373" t="s">
        <v>78</v>
      </c>
      <c r="J373" t="s">
        <v>670</v>
      </c>
      <c r="K373" t="s">
        <v>47</v>
      </c>
      <c r="L373" t="s">
        <v>114</v>
      </c>
      <c r="M373" t="s">
        <v>115</v>
      </c>
      <c r="N373" t="s">
        <v>44</v>
      </c>
      <c r="O373" s="3">
        <v>17.809999999999999</v>
      </c>
      <c r="P373">
        <v>3</v>
      </c>
      <c r="Q373" s="4">
        <v>0.2</v>
      </c>
      <c r="R373" s="3">
        <v>42.744</v>
      </c>
      <c r="S373" s="3">
        <v>6.79</v>
      </c>
      <c r="T373" s="3">
        <v>20.37</v>
      </c>
      <c r="U373" s="3">
        <v>22.373999999999999</v>
      </c>
      <c r="V373" s="5">
        <v>0.52344188658057267</v>
      </c>
      <c r="W373">
        <v>1</v>
      </c>
      <c r="X373" t="s">
        <v>37</v>
      </c>
      <c r="Y373" s="6">
        <v>5</v>
      </c>
    </row>
    <row r="374" spans="1:25">
      <c r="A374" t="s">
        <v>697</v>
      </c>
      <c r="B374" s="2">
        <v>45378</v>
      </c>
      <c r="C374">
        <v>2024</v>
      </c>
      <c r="D374" t="s">
        <v>26</v>
      </c>
      <c r="E374" t="s">
        <v>163</v>
      </c>
      <c r="F374" t="s">
        <v>39</v>
      </c>
      <c r="G374" t="s">
        <v>40</v>
      </c>
      <c r="H374" t="s">
        <v>41</v>
      </c>
      <c r="I374" t="s">
        <v>78</v>
      </c>
      <c r="J374" t="s">
        <v>428</v>
      </c>
      <c r="K374" t="s">
        <v>33</v>
      </c>
      <c r="L374" t="s">
        <v>73</v>
      </c>
      <c r="M374" t="s">
        <v>138</v>
      </c>
      <c r="N374" t="s">
        <v>44</v>
      </c>
      <c r="O374" s="3">
        <v>315.08</v>
      </c>
      <c r="P374">
        <v>4</v>
      </c>
      <c r="Q374" s="4">
        <v>0.2</v>
      </c>
      <c r="R374" s="3">
        <v>1008.256</v>
      </c>
      <c r="S374" s="3">
        <v>183.02</v>
      </c>
      <c r="T374" s="3">
        <v>732.08</v>
      </c>
      <c r="U374" s="3">
        <v>276.17599999999993</v>
      </c>
      <c r="V374" s="5">
        <v>0.27391456138123643</v>
      </c>
      <c r="W374">
        <v>5</v>
      </c>
      <c r="X374" t="s">
        <v>37</v>
      </c>
      <c r="Y374" s="6">
        <v>5</v>
      </c>
    </row>
    <row r="375" spans="1:25">
      <c r="A375" t="s">
        <v>698</v>
      </c>
      <c r="B375" s="2">
        <v>45379</v>
      </c>
      <c r="C375">
        <v>2024</v>
      </c>
      <c r="D375" t="s">
        <v>26</v>
      </c>
      <c r="E375" t="s">
        <v>163</v>
      </c>
      <c r="F375" t="s">
        <v>65</v>
      </c>
      <c r="G375" t="s">
        <v>76</v>
      </c>
      <c r="H375" t="s">
        <v>77</v>
      </c>
      <c r="I375" t="s">
        <v>78</v>
      </c>
      <c r="J375" t="s">
        <v>699</v>
      </c>
      <c r="K375" t="s">
        <v>47</v>
      </c>
      <c r="L375" t="s">
        <v>55</v>
      </c>
      <c r="M375" t="s">
        <v>56</v>
      </c>
      <c r="N375" t="s">
        <v>36</v>
      </c>
      <c r="O375" s="3">
        <v>39.35</v>
      </c>
      <c r="P375">
        <v>2</v>
      </c>
      <c r="Q375" s="4">
        <v>0</v>
      </c>
      <c r="R375" s="3">
        <v>78.7</v>
      </c>
      <c r="S375" s="3">
        <v>17.21</v>
      </c>
      <c r="T375" s="3">
        <v>34.42</v>
      </c>
      <c r="U375" s="3">
        <v>44.28</v>
      </c>
      <c r="V375" s="5">
        <v>0.56264294790343072</v>
      </c>
      <c r="W375">
        <v>6</v>
      </c>
      <c r="X375" t="s">
        <v>37</v>
      </c>
      <c r="Y375" s="6">
        <v>4</v>
      </c>
    </row>
    <row r="376" spans="1:25">
      <c r="A376" t="s">
        <v>700</v>
      </c>
      <c r="B376" s="2">
        <v>45379</v>
      </c>
      <c r="C376">
        <v>2024</v>
      </c>
      <c r="D376" t="s">
        <v>26</v>
      </c>
      <c r="E376" t="s">
        <v>163</v>
      </c>
      <c r="F376" t="s">
        <v>28</v>
      </c>
      <c r="G376" t="s">
        <v>29</v>
      </c>
      <c r="H376" t="s">
        <v>106</v>
      </c>
      <c r="I376" t="s">
        <v>31</v>
      </c>
      <c r="J376" t="s">
        <v>538</v>
      </c>
      <c r="K376" t="s">
        <v>47</v>
      </c>
      <c r="L376" t="s">
        <v>114</v>
      </c>
      <c r="M376" t="s">
        <v>120</v>
      </c>
      <c r="N376" t="s">
        <v>57</v>
      </c>
      <c r="O376" s="3">
        <v>26.59</v>
      </c>
      <c r="P376">
        <v>5</v>
      </c>
      <c r="Q376" s="4">
        <v>0</v>
      </c>
      <c r="R376" s="3">
        <v>132.94999999999999</v>
      </c>
      <c r="S376" s="3">
        <v>11.31</v>
      </c>
      <c r="T376" s="3">
        <v>56.550000000000004</v>
      </c>
      <c r="U376" s="3">
        <v>76.399999999999977</v>
      </c>
      <c r="V376" s="5">
        <v>0.57465212485896944</v>
      </c>
      <c r="W376">
        <v>3</v>
      </c>
      <c r="X376" t="s">
        <v>37</v>
      </c>
      <c r="Y376" s="6">
        <v>5</v>
      </c>
    </row>
    <row r="377" spans="1:25">
      <c r="A377" t="s">
        <v>701</v>
      </c>
      <c r="B377" s="2">
        <v>45379</v>
      </c>
      <c r="C377">
        <v>2024</v>
      </c>
      <c r="D377" t="s">
        <v>26</v>
      </c>
      <c r="E377" t="s">
        <v>163</v>
      </c>
      <c r="F377" t="s">
        <v>51</v>
      </c>
      <c r="G377" t="s">
        <v>97</v>
      </c>
      <c r="H377" t="s">
        <v>98</v>
      </c>
      <c r="I377" t="s">
        <v>78</v>
      </c>
      <c r="J377" t="s">
        <v>702</v>
      </c>
      <c r="K377" t="s">
        <v>33</v>
      </c>
      <c r="L377" t="s">
        <v>88</v>
      </c>
      <c r="M377" t="s">
        <v>100</v>
      </c>
      <c r="N377" t="s">
        <v>36</v>
      </c>
      <c r="O377" s="3">
        <v>313.39</v>
      </c>
      <c r="P377">
        <v>5</v>
      </c>
      <c r="Q377" s="4">
        <v>0.2</v>
      </c>
      <c r="R377" s="3">
        <v>1253.56</v>
      </c>
      <c r="S377" s="3">
        <v>153.80000000000001</v>
      </c>
      <c r="T377" s="3">
        <v>769</v>
      </c>
      <c r="U377" s="3">
        <v>484.55999999999995</v>
      </c>
      <c r="V377" s="5">
        <v>0.38654711381984108</v>
      </c>
      <c r="W377">
        <v>2</v>
      </c>
      <c r="X377" t="s">
        <v>58</v>
      </c>
      <c r="Y377" s="6">
        <v>4</v>
      </c>
    </row>
    <row r="378" spans="1:25">
      <c r="A378" t="s">
        <v>703</v>
      </c>
      <c r="B378" s="2">
        <v>45380</v>
      </c>
      <c r="C378">
        <v>2024</v>
      </c>
      <c r="D378" t="s">
        <v>26</v>
      </c>
      <c r="E378" t="s">
        <v>163</v>
      </c>
      <c r="F378" t="s">
        <v>28</v>
      </c>
      <c r="G378" t="s">
        <v>29</v>
      </c>
      <c r="H378" t="s">
        <v>60</v>
      </c>
      <c r="I378" t="s">
        <v>78</v>
      </c>
      <c r="J378" t="s">
        <v>704</v>
      </c>
      <c r="K378" t="s">
        <v>33</v>
      </c>
      <c r="L378" t="s">
        <v>34</v>
      </c>
      <c r="M378" t="s">
        <v>150</v>
      </c>
      <c r="N378" t="s">
        <v>44</v>
      </c>
      <c r="O378" s="3">
        <v>427.94</v>
      </c>
      <c r="P378">
        <v>5</v>
      </c>
      <c r="Q378" s="4">
        <v>0.15</v>
      </c>
      <c r="R378" s="3">
        <v>1818.7449999999999</v>
      </c>
      <c r="S378" s="3">
        <v>253.63</v>
      </c>
      <c r="T378" s="3">
        <v>1268.1500000000001</v>
      </c>
      <c r="U378" s="3">
        <v>550.5949999999998</v>
      </c>
      <c r="V378" s="5">
        <v>0.30273347830509489</v>
      </c>
      <c r="W378">
        <v>2</v>
      </c>
      <c r="X378" t="s">
        <v>37</v>
      </c>
      <c r="Y378" s="6">
        <v>5</v>
      </c>
    </row>
    <row r="379" spans="1:25">
      <c r="A379" t="s">
        <v>705</v>
      </c>
      <c r="B379" s="2">
        <v>45381</v>
      </c>
      <c r="C379">
        <v>2024</v>
      </c>
      <c r="D379" t="s">
        <v>26</v>
      </c>
      <c r="E379" t="s">
        <v>163</v>
      </c>
      <c r="F379" t="s">
        <v>65</v>
      </c>
      <c r="G379" t="s">
        <v>76</v>
      </c>
      <c r="H379" t="s">
        <v>77</v>
      </c>
      <c r="I379" t="s">
        <v>31</v>
      </c>
      <c r="J379" t="s">
        <v>704</v>
      </c>
      <c r="K379" t="s">
        <v>61</v>
      </c>
      <c r="L379" t="s">
        <v>84</v>
      </c>
      <c r="M379" t="s">
        <v>135</v>
      </c>
      <c r="N379" t="s">
        <v>44</v>
      </c>
      <c r="O379" s="3">
        <v>932.1</v>
      </c>
      <c r="P379">
        <v>4</v>
      </c>
      <c r="Q379" s="4">
        <v>0</v>
      </c>
      <c r="R379" s="3">
        <v>3728.4</v>
      </c>
      <c r="S379" s="3">
        <v>579.78</v>
      </c>
      <c r="T379" s="3">
        <v>2319.12</v>
      </c>
      <c r="U379" s="3">
        <v>1409.2800000000002</v>
      </c>
      <c r="V379" s="5">
        <v>0.37798519472159642</v>
      </c>
      <c r="W379">
        <v>2</v>
      </c>
      <c r="X379" t="s">
        <v>37</v>
      </c>
      <c r="Y379" s="6">
        <v>5</v>
      </c>
    </row>
    <row r="380" spans="1:25">
      <c r="A380" t="s">
        <v>706</v>
      </c>
      <c r="B380" s="2">
        <v>45382</v>
      </c>
      <c r="C380">
        <v>2024</v>
      </c>
      <c r="D380" t="s">
        <v>26</v>
      </c>
      <c r="E380" t="s">
        <v>163</v>
      </c>
      <c r="F380" t="s">
        <v>28</v>
      </c>
      <c r="G380" t="s">
        <v>29</v>
      </c>
      <c r="H380" t="s">
        <v>106</v>
      </c>
      <c r="I380" t="s">
        <v>71</v>
      </c>
      <c r="J380" t="s">
        <v>156</v>
      </c>
      <c r="K380" t="s">
        <v>47</v>
      </c>
      <c r="L380" t="s">
        <v>48</v>
      </c>
      <c r="M380" t="s">
        <v>104</v>
      </c>
      <c r="N380" t="s">
        <v>44</v>
      </c>
      <c r="O380" s="3">
        <v>53.61</v>
      </c>
      <c r="P380">
        <v>2</v>
      </c>
      <c r="Q380" s="4">
        <v>0.2</v>
      </c>
      <c r="R380" s="3">
        <v>85.77600000000001</v>
      </c>
      <c r="S380" s="3">
        <v>30.67</v>
      </c>
      <c r="T380" s="3">
        <v>61.34</v>
      </c>
      <c r="U380" s="3">
        <v>24.436000000000007</v>
      </c>
      <c r="V380" s="5">
        <v>0.28488155194926323</v>
      </c>
      <c r="W380">
        <v>5</v>
      </c>
      <c r="X380" t="s">
        <v>37</v>
      </c>
      <c r="Y380" s="6">
        <v>4</v>
      </c>
    </row>
    <row r="381" spans="1:25">
      <c r="A381" t="s">
        <v>707</v>
      </c>
      <c r="B381" s="2">
        <v>45382</v>
      </c>
      <c r="C381">
        <v>2024</v>
      </c>
      <c r="D381" t="s">
        <v>26</v>
      </c>
      <c r="E381" t="s">
        <v>163</v>
      </c>
      <c r="F381" t="s">
        <v>51</v>
      </c>
      <c r="G381" t="s">
        <v>52</v>
      </c>
      <c r="H381" t="s">
        <v>53</v>
      </c>
      <c r="I381" t="s">
        <v>78</v>
      </c>
      <c r="J381" t="s">
        <v>377</v>
      </c>
      <c r="K381" t="s">
        <v>47</v>
      </c>
      <c r="L381" t="s">
        <v>55</v>
      </c>
      <c r="M381" t="s">
        <v>69</v>
      </c>
      <c r="N381" t="s">
        <v>57</v>
      </c>
      <c r="O381" s="3">
        <v>43.42</v>
      </c>
      <c r="P381">
        <v>8</v>
      </c>
      <c r="Q381" s="4">
        <v>0.15</v>
      </c>
      <c r="R381" s="3">
        <v>295.25600000000003</v>
      </c>
      <c r="S381" s="3">
        <v>22.39</v>
      </c>
      <c r="T381" s="3">
        <v>179.12</v>
      </c>
      <c r="U381" s="3">
        <v>116.13600000000002</v>
      </c>
      <c r="V381" s="5">
        <v>0.39334001679898128</v>
      </c>
      <c r="W381">
        <v>3</v>
      </c>
      <c r="X381" t="s">
        <v>37</v>
      </c>
      <c r="Y381" s="6">
        <v>5</v>
      </c>
    </row>
    <row r="382" spans="1:25">
      <c r="A382" t="s">
        <v>708</v>
      </c>
      <c r="B382" s="2">
        <v>45383</v>
      </c>
      <c r="C382">
        <v>2024</v>
      </c>
      <c r="D382" t="s">
        <v>229</v>
      </c>
      <c r="E382" t="s">
        <v>230</v>
      </c>
      <c r="F382" t="s">
        <v>51</v>
      </c>
      <c r="G382" t="s">
        <v>52</v>
      </c>
      <c r="H382" t="s">
        <v>53</v>
      </c>
      <c r="I382" t="s">
        <v>31</v>
      </c>
      <c r="J382" t="s">
        <v>235</v>
      </c>
      <c r="K382" t="s">
        <v>33</v>
      </c>
      <c r="L382" t="s">
        <v>88</v>
      </c>
      <c r="M382" t="s">
        <v>100</v>
      </c>
      <c r="N382" t="s">
        <v>44</v>
      </c>
      <c r="O382" s="3">
        <v>297.37</v>
      </c>
      <c r="P382">
        <v>5</v>
      </c>
      <c r="Q382" s="4">
        <v>0</v>
      </c>
      <c r="R382" s="3">
        <v>1486.85</v>
      </c>
      <c r="S382" s="3">
        <v>155.12</v>
      </c>
      <c r="T382" s="3">
        <v>775.6</v>
      </c>
      <c r="U382" s="3">
        <v>711.24999999999989</v>
      </c>
      <c r="V382" s="5">
        <v>0.47836029189225537</v>
      </c>
      <c r="W382">
        <v>9</v>
      </c>
      <c r="X382" t="s">
        <v>58</v>
      </c>
      <c r="Y382" s="6">
        <v>2</v>
      </c>
    </row>
    <row r="383" spans="1:25">
      <c r="A383" t="s">
        <v>709</v>
      </c>
      <c r="B383" s="2">
        <v>45383</v>
      </c>
      <c r="C383">
        <v>2024</v>
      </c>
      <c r="D383" t="s">
        <v>229</v>
      </c>
      <c r="E383" t="s">
        <v>230</v>
      </c>
      <c r="F383" t="s">
        <v>28</v>
      </c>
      <c r="G383" t="s">
        <v>29</v>
      </c>
      <c r="H383" t="s">
        <v>60</v>
      </c>
      <c r="I383" t="s">
        <v>71</v>
      </c>
      <c r="J383" t="s">
        <v>710</v>
      </c>
      <c r="K383" t="s">
        <v>33</v>
      </c>
      <c r="L383" t="s">
        <v>34</v>
      </c>
      <c r="M383" t="s">
        <v>150</v>
      </c>
      <c r="N383" t="s">
        <v>57</v>
      </c>
      <c r="O383" s="3">
        <v>431.36</v>
      </c>
      <c r="P383">
        <v>4</v>
      </c>
      <c r="Q383" s="4">
        <v>0.2</v>
      </c>
      <c r="R383" s="3">
        <v>1380.3520000000001</v>
      </c>
      <c r="S383" s="3">
        <v>250.28</v>
      </c>
      <c r="T383" s="3">
        <v>1001.12</v>
      </c>
      <c r="U383" s="3">
        <v>379.23200000000008</v>
      </c>
      <c r="V383" s="5">
        <v>0.27473571958456977</v>
      </c>
      <c r="W383">
        <v>4</v>
      </c>
      <c r="X383" t="s">
        <v>37</v>
      </c>
      <c r="Y383" s="6">
        <v>5</v>
      </c>
    </row>
    <row r="384" spans="1:25">
      <c r="A384" t="s">
        <v>711</v>
      </c>
      <c r="B384" s="2">
        <v>45383</v>
      </c>
      <c r="C384">
        <v>2024</v>
      </c>
      <c r="D384" t="s">
        <v>229</v>
      </c>
      <c r="E384" t="s">
        <v>230</v>
      </c>
      <c r="F384" t="s">
        <v>39</v>
      </c>
      <c r="G384" t="s">
        <v>91</v>
      </c>
      <c r="H384" t="s">
        <v>92</v>
      </c>
      <c r="I384" t="s">
        <v>31</v>
      </c>
      <c r="J384" t="s">
        <v>194</v>
      </c>
      <c r="K384" t="s">
        <v>61</v>
      </c>
      <c r="L384" t="s">
        <v>62</v>
      </c>
      <c r="M384" t="s">
        <v>63</v>
      </c>
      <c r="N384" t="s">
        <v>44</v>
      </c>
      <c r="O384" s="3">
        <v>89.71</v>
      </c>
      <c r="P384">
        <v>3</v>
      </c>
      <c r="Q384" s="4">
        <v>0.15</v>
      </c>
      <c r="R384" s="3">
        <v>228.76049999999998</v>
      </c>
      <c r="S384" s="3">
        <v>44.25</v>
      </c>
      <c r="T384" s="3">
        <v>132.75</v>
      </c>
      <c r="U384" s="3">
        <v>96.010499999999979</v>
      </c>
      <c r="V384" s="5">
        <v>0.41969876792540667</v>
      </c>
      <c r="W384">
        <v>1</v>
      </c>
      <c r="X384" t="s">
        <v>58</v>
      </c>
      <c r="Y384" s="6">
        <v>4</v>
      </c>
    </row>
    <row r="385" spans="1:25">
      <c r="A385" t="s">
        <v>712</v>
      </c>
      <c r="B385" s="2">
        <v>45386</v>
      </c>
      <c r="C385">
        <v>2024</v>
      </c>
      <c r="D385" t="s">
        <v>229</v>
      </c>
      <c r="E385" t="s">
        <v>230</v>
      </c>
      <c r="F385" t="s">
        <v>39</v>
      </c>
      <c r="G385" t="s">
        <v>111</v>
      </c>
      <c r="H385" t="s">
        <v>112</v>
      </c>
      <c r="I385" t="s">
        <v>31</v>
      </c>
      <c r="J385" t="s">
        <v>179</v>
      </c>
      <c r="K385" t="s">
        <v>47</v>
      </c>
      <c r="L385" t="s">
        <v>48</v>
      </c>
      <c r="M385" t="s">
        <v>49</v>
      </c>
      <c r="N385" t="s">
        <v>36</v>
      </c>
      <c r="O385" s="3">
        <v>31.58</v>
      </c>
      <c r="P385">
        <v>1</v>
      </c>
      <c r="Q385" s="4">
        <v>0</v>
      </c>
      <c r="R385" s="3">
        <v>31.58</v>
      </c>
      <c r="S385" s="3">
        <v>13.74</v>
      </c>
      <c r="T385" s="3">
        <v>13.74</v>
      </c>
      <c r="U385" s="3">
        <v>17.839999999999996</v>
      </c>
      <c r="V385" s="5">
        <v>0.56491450284990496</v>
      </c>
      <c r="W385">
        <v>3</v>
      </c>
      <c r="X385" t="s">
        <v>37</v>
      </c>
      <c r="Y385" s="6">
        <v>5</v>
      </c>
    </row>
    <row r="386" spans="1:25">
      <c r="A386" t="s">
        <v>713</v>
      </c>
      <c r="B386" s="2">
        <v>45387</v>
      </c>
      <c r="C386">
        <v>2024</v>
      </c>
      <c r="D386" t="s">
        <v>229</v>
      </c>
      <c r="E386" t="s">
        <v>230</v>
      </c>
      <c r="F386" t="s">
        <v>28</v>
      </c>
      <c r="G386" t="s">
        <v>29</v>
      </c>
      <c r="H386" t="s">
        <v>30</v>
      </c>
      <c r="I386" t="s">
        <v>42</v>
      </c>
      <c r="J386" t="s">
        <v>426</v>
      </c>
      <c r="K386" t="s">
        <v>61</v>
      </c>
      <c r="L386" t="s">
        <v>80</v>
      </c>
      <c r="M386" t="s">
        <v>187</v>
      </c>
      <c r="N386" t="s">
        <v>57</v>
      </c>
      <c r="O386" s="3">
        <v>1300.1600000000001</v>
      </c>
      <c r="P386">
        <v>5</v>
      </c>
      <c r="Q386" s="4">
        <v>0</v>
      </c>
      <c r="R386" s="3">
        <v>6500.8</v>
      </c>
      <c r="S386" s="3">
        <v>828.03</v>
      </c>
      <c r="T386" s="3">
        <v>4140.1499999999996</v>
      </c>
      <c r="U386" s="3">
        <v>2360.6500000000005</v>
      </c>
      <c r="V386" s="5">
        <v>0.36313222987939953</v>
      </c>
      <c r="W386">
        <v>5</v>
      </c>
      <c r="X386" t="s">
        <v>37</v>
      </c>
      <c r="Y386" s="6">
        <v>5</v>
      </c>
    </row>
    <row r="387" spans="1:25">
      <c r="A387" t="s">
        <v>714</v>
      </c>
      <c r="B387" s="2">
        <v>45389</v>
      </c>
      <c r="C387">
        <v>2024</v>
      </c>
      <c r="D387" t="s">
        <v>229</v>
      </c>
      <c r="E387" t="s">
        <v>230</v>
      </c>
      <c r="F387" t="s">
        <v>28</v>
      </c>
      <c r="G387" t="s">
        <v>29</v>
      </c>
      <c r="H387" t="s">
        <v>106</v>
      </c>
      <c r="I387" t="s">
        <v>31</v>
      </c>
      <c r="J387" t="s">
        <v>715</v>
      </c>
      <c r="K387" t="s">
        <v>33</v>
      </c>
      <c r="L387" t="s">
        <v>34</v>
      </c>
      <c r="M387" t="s">
        <v>150</v>
      </c>
      <c r="N387" t="s">
        <v>44</v>
      </c>
      <c r="O387" s="3">
        <v>411.29</v>
      </c>
      <c r="P387">
        <v>4</v>
      </c>
      <c r="Q387" s="4">
        <v>0.05</v>
      </c>
      <c r="R387" s="3">
        <v>1562.902</v>
      </c>
      <c r="S387" s="3">
        <v>250.73</v>
      </c>
      <c r="T387" s="3">
        <v>1002.92</v>
      </c>
      <c r="U387" s="3">
        <v>559.98200000000008</v>
      </c>
      <c r="V387" s="5">
        <v>0.35829629752857189</v>
      </c>
      <c r="W387">
        <v>7</v>
      </c>
      <c r="X387" t="s">
        <v>37</v>
      </c>
      <c r="Y387" s="6">
        <v>4</v>
      </c>
    </row>
    <row r="388" spans="1:25">
      <c r="A388" t="s">
        <v>716</v>
      </c>
      <c r="B388" s="2">
        <v>45389</v>
      </c>
      <c r="C388">
        <v>2024</v>
      </c>
      <c r="D388" t="s">
        <v>229</v>
      </c>
      <c r="E388" t="s">
        <v>230</v>
      </c>
      <c r="F388" t="s">
        <v>39</v>
      </c>
      <c r="G388" t="s">
        <v>111</v>
      </c>
      <c r="H388" t="s">
        <v>112</v>
      </c>
      <c r="I388" t="s">
        <v>42</v>
      </c>
      <c r="J388" t="s">
        <v>590</v>
      </c>
      <c r="K388" t="s">
        <v>47</v>
      </c>
      <c r="L388" t="s">
        <v>114</v>
      </c>
      <c r="M388" t="s">
        <v>120</v>
      </c>
      <c r="N388" t="s">
        <v>44</v>
      </c>
      <c r="O388" s="3">
        <v>25.8</v>
      </c>
      <c r="P388">
        <v>7</v>
      </c>
      <c r="Q388" s="4">
        <v>0.1</v>
      </c>
      <c r="R388" s="3">
        <v>162.54</v>
      </c>
      <c r="S388" s="3">
        <v>10.81</v>
      </c>
      <c r="T388" s="3">
        <v>75.67</v>
      </c>
      <c r="U388" s="3">
        <v>86.86999999999999</v>
      </c>
      <c r="V388" s="5">
        <v>0.53445305770887164</v>
      </c>
      <c r="W388">
        <v>5</v>
      </c>
      <c r="X388" t="s">
        <v>37</v>
      </c>
      <c r="Y388" s="6">
        <v>4</v>
      </c>
    </row>
    <row r="389" spans="1:25">
      <c r="A389" t="s">
        <v>717</v>
      </c>
      <c r="B389" s="2">
        <v>45393</v>
      </c>
      <c r="C389">
        <v>2024</v>
      </c>
      <c r="D389" t="s">
        <v>229</v>
      </c>
      <c r="E389" t="s">
        <v>230</v>
      </c>
      <c r="F389" t="s">
        <v>65</v>
      </c>
      <c r="G389" t="s">
        <v>76</v>
      </c>
      <c r="H389" t="s">
        <v>77</v>
      </c>
      <c r="I389" t="s">
        <v>78</v>
      </c>
      <c r="J389" t="s">
        <v>124</v>
      </c>
      <c r="K389" t="s">
        <v>61</v>
      </c>
      <c r="L389" t="s">
        <v>80</v>
      </c>
      <c r="M389" t="s">
        <v>187</v>
      </c>
      <c r="N389" t="s">
        <v>36</v>
      </c>
      <c r="O389" s="3">
        <v>1335.36</v>
      </c>
      <c r="P389">
        <v>3</v>
      </c>
      <c r="Q389" s="4">
        <v>0.1</v>
      </c>
      <c r="R389" s="3">
        <v>3605.4720000000002</v>
      </c>
      <c r="S389" s="3">
        <v>836.08</v>
      </c>
      <c r="T389" s="3">
        <v>2508.2400000000002</v>
      </c>
      <c r="U389" s="3">
        <v>1097.232</v>
      </c>
      <c r="V389" s="5">
        <v>0.30432409404372018</v>
      </c>
      <c r="W389">
        <v>4</v>
      </c>
      <c r="X389" t="s">
        <v>37</v>
      </c>
      <c r="Y389" s="6">
        <v>5</v>
      </c>
    </row>
    <row r="390" spans="1:25">
      <c r="A390" t="s">
        <v>718</v>
      </c>
      <c r="B390" s="2">
        <v>45394</v>
      </c>
      <c r="C390">
        <v>2024</v>
      </c>
      <c r="D390" t="s">
        <v>229</v>
      </c>
      <c r="E390" t="s">
        <v>230</v>
      </c>
      <c r="F390" t="s">
        <v>51</v>
      </c>
      <c r="G390" t="s">
        <v>97</v>
      </c>
      <c r="H390" t="s">
        <v>98</v>
      </c>
      <c r="I390" t="s">
        <v>31</v>
      </c>
      <c r="J390" t="s">
        <v>466</v>
      </c>
      <c r="K390" t="s">
        <v>47</v>
      </c>
      <c r="L390" t="s">
        <v>114</v>
      </c>
      <c r="M390" t="s">
        <v>115</v>
      </c>
      <c r="N390" t="s">
        <v>36</v>
      </c>
      <c r="O390" s="3">
        <v>18.059999999999999</v>
      </c>
      <c r="P390">
        <v>8</v>
      </c>
      <c r="Q390" s="4">
        <v>0.05</v>
      </c>
      <c r="R390" s="3">
        <v>137.25599999999997</v>
      </c>
      <c r="S390" s="3">
        <v>7.15</v>
      </c>
      <c r="T390" s="3">
        <v>57.2</v>
      </c>
      <c r="U390" s="3">
        <v>80.055999999999969</v>
      </c>
      <c r="V390" s="5">
        <v>0.5832604767733286</v>
      </c>
      <c r="W390">
        <v>1</v>
      </c>
      <c r="X390" t="s">
        <v>37</v>
      </c>
      <c r="Y390" s="6">
        <v>5</v>
      </c>
    </row>
    <row r="391" spans="1:25">
      <c r="A391" t="s">
        <v>719</v>
      </c>
      <c r="B391" s="2">
        <v>45394</v>
      </c>
      <c r="C391">
        <v>2024</v>
      </c>
      <c r="D391" t="s">
        <v>229</v>
      </c>
      <c r="E391" t="s">
        <v>230</v>
      </c>
      <c r="F391" t="s">
        <v>39</v>
      </c>
      <c r="G391" t="s">
        <v>111</v>
      </c>
      <c r="H391" t="s">
        <v>112</v>
      </c>
      <c r="I391" t="s">
        <v>78</v>
      </c>
      <c r="J391" t="s">
        <v>720</v>
      </c>
      <c r="K391" t="s">
        <v>47</v>
      </c>
      <c r="L391" t="s">
        <v>55</v>
      </c>
      <c r="M391" t="s">
        <v>69</v>
      </c>
      <c r="N391" t="s">
        <v>57</v>
      </c>
      <c r="O391" s="3">
        <v>43.3</v>
      </c>
      <c r="P391">
        <v>2</v>
      </c>
      <c r="Q391" s="4">
        <v>0.05</v>
      </c>
      <c r="R391" s="3">
        <v>82.27</v>
      </c>
      <c r="S391" s="3">
        <v>21.75</v>
      </c>
      <c r="T391" s="3">
        <v>43.5</v>
      </c>
      <c r="U391" s="3">
        <v>38.769999999999996</v>
      </c>
      <c r="V391" s="5">
        <v>0.4712531907135043</v>
      </c>
      <c r="W391">
        <v>6</v>
      </c>
      <c r="X391" t="s">
        <v>37</v>
      </c>
      <c r="Y391" s="6">
        <v>4</v>
      </c>
    </row>
    <row r="392" spans="1:25">
      <c r="A392" t="s">
        <v>721</v>
      </c>
      <c r="B392" s="2">
        <v>45395</v>
      </c>
      <c r="C392">
        <v>2024</v>
      </c>
      <c r="D392" t="s">
        <v>229</v>
      </c>
      <c r="E392" t="s">
        <v>230</v>
      </c>
      <c r="F392" t="s">
        <v>28</v>
      </c>
      <c r="G392" t="s">
        <v>29</v>
      </c>
      <c r="H392" t="s">
        <v>30</v>
      </c>
      <c r="I392" t="s">
        <v>31</v>
      </c>
      <c r="J392" t="s">
        <v>95</v>
      </c>
      <c r="K392" t="s">
        <v>61</v>
      </c>
      <c r="L392" t="s">
        <v>62</v>
      </c>
      <c r="M392" t="s">
        <v>63</v>
      </c>
      <c r="N392" t="s">
        <v>36</v>
      </c>
      <c r="O392" s="3">
        <v>88.04</v>
      </c>
      <c r="P392">
        <v>5</v>
      </c>
      <c r="Q392" s="4">
        <v>0</v>
      </c>
      <c r="R392" s="3">
        <v>440.20000000000005</v>
      </c>
      <c r="S392" s="3">
        <v>43.15</v>
      </c>
      <c r="T392" s="3">
        <v>215.75</v>
      </c>
      <c r="U392" s="3">
        <v>224.45000000000005</v>
      </c>
      <c r="V392" s="5">
        <v>0.50988187187641987</v>
      </c>
      <c r="W392">
        <v>6</v>
      </c>
      <c r="X392" t="s">
        <v>37</v>
      </c>
      <c r="Y392" s="6">
        <v>4</v>
      </c>
    </row>
    <row r="393" spans="1:25">
      <c r="A393" t="s">
        <v>722</v>
      </c>
      <c r="B393" s="2">
        <v>45396</v>
      </c>
      <c r="C393">
        <v>2024</v>
      </c>
      <c r="D393" t="s">
        <v>229</v>
      </c>
      <c r="E393" t="s">
        <v>230</v>
      </c>
      <c r="F393" t="s">
        <v>51</v>
      </c>
      <c r="G393" t="s">
        <v>52</v>
      </c>
      <c r="H393" t="s">
        <v>102</v>
      </c>
      <c r="I393" t="s">
        <v>71</v>
      </c>
      <c r="J393" t="s">
        <v>119</v>
      </c>
      <c r="K393" t="s">
        <v>33</v>
      </c>
      <c r="L393" t="s">
        <v>34</v>
      </c>
      <c r="M393" t="s">
        <v>35</v>
      </c>
      <c r="N393" t="s">
        <v>36</v>
      </c>
      <c r="O393" s="3">
        <v>185.45</v>
      </c>
      <c r="P393">
        <v>1</v>
      </c>
      <c r="Q393" s="4">
        <v>0.05</v>
      </c>
      <c r="R393" s="3">
        <v>176.17749999999998</v>
      </c>
      <c r="S393" s="3">
        <v>89.43</v>
      </c>
      <c r="T393" s="3">
        <v>89.43</v>
      </c>
      <c r="U393" s="3">
        <v>86.747499999999974</v>
      </c>
      <c r="V393" s="5">
        <v>0.49238693930836791</v>
      </c>
      <c r="W393">
        <v>10</v>
      </c>
      <c r="X393" t="s">
        <v>37</v>
      </c>
      <c r="Y393" s="6">
        <v>3</v>
      </c>
    </row>
    <row r="394" spans="1:25">
      <c r="A394" t="s">
        <v>723</v>
      </c>
      <c r="B394" s="2">
        <v>45396</v>
      </c>
      <c r="C394">
        <v>2024</v>
      </c>
      <c r="D394" t="s">
        <v>229</v>
      </c>
      <c r="E394" t="s">
        <v>230</v>
      </c>
      <c r="F394" t="s">
        <v>39</v>
      </c>
      <c r="G394" t="s">
        <v>111</v>
      </c>
      <c r="H394" t="s">
        <v>112</v>
      </c>
      <c r="I394" t="s">
        <v>31</v>
      </c>
      <c r="J394" t="s">
        <v>724</v>
      </c>
      <c r="K394" t="s">
        <v>33</v>
      </c>
      <c r="L394" t="s">
        <v>34</v>
      </c>
      <c r="M394" t="s">
        <v>150</v>
      </c>
      <c r="N394" t="s">
        <v>57</v>
      </c>
      <c r="O394" s="3">
        <v>448.43</v>
      </c>
      <c r="P394">
        <v>5</v>
      </c>
      <c r="Q394" s="4">
        <v>0.1</v>
      </c>
      <c r="R394" s="3">
        <v>2017.9350000000002</v>
      </c>
      <c r="S394" s="3">
        <v>245.05</v>
      </c>
      <c r="T394" s="3">
        <v>1225.25</v>
      </c>
      <c r="U394" s="3">
        <v>792.68500000000017</v>
      </c>
      <c r="V394" s="5">
        <v>0.39281988765743203</v>
      </c>
      <c r="W394">
        <v>3</v>
      </c>
      <c r="X394" t="s">
        <v>37</v>
      </c>
      <c r="Y394" s="6">
        <v>5</v>
      </c>
    </row>
    <row r="395" spans="1:25">
      <c r="A395" t="s">
        <v>725</v>
      </c>
      <c r="B395" s="2">
        <v>45398</v>
      </c>
      <c r="C395">
        <v>2024</v>
      </c>
      <c r="D395" t="s">
        <v>229</v>
      </c>
      <c r="E395" t="s">
        <v>230</v>
      </c>
      <c r="F395" t="s">
        <v>28</v>
      </c>
      <c r="G395" t="s">
        <v>29</v>
      </c>
      <c r="H395" t="s">
        <v>60</v>
      </c>
      <c r="I395" t="s">
        <v>78</v>
      </c>
      <c r="J395" t="s">
        <v>213</v>
      </c>
      <c r="K395" t="s">
        <v>47</v>
      </c>
      <c r="L395" t="s">
        <v>114</v>
      </c>
      <c r="M395" t="s">
        <v>115</v>
      </c>
      <c r="N395" t="s">
        <v>57</v>
      </c>
      <c r="O395" s="3">
        <v>17.18</v>
      </c>
      <c r="P395">
        <v>10</v>
      </c>
      <c r="Q395" s="4">
        <v>0.2</v>
      </c>
      <c r="R395" s="3">
        <v>137.44000000000003</v>
      </c>
      <c r="S395" s="3">
        <v>6.82</v>
      </c>
      <c r="T395" s="3">
        <v>68.2</v>
      </c>
      <c r="U395" s="3">
        <v>69.240000000000023</v>
      </c>
      <c r="V395" s="5">
        <v>0.50378346915017469</v>
      </c>
      <c r="W395">
        <v>7</v>
      </c>
      <c r="X395" t="s">
        <v>37</v>
      </c>
      <c r="Y395" s="6">
        <v>4</v>
      </c>
    </row>
    <row r="396" spans="1:25">
      <c r="A396" t="s">
        <v>726</v>
      </c>
      <c r="B396" s="2">
        <v>45398</v>
      </c>
      <c r="C396">
        <v>2024</v>
      </c>
      <c r="D396" t="s">
        <v>229</v>
      </c>
      <c r="E396" t="s">
        <v>230</v>
      </c>
      <c r="F396" t="s">
        <v>51</v>
      </c>
      <c r="G396" t="s">
        <v>52</v>
      </c>
      <c r="H396" t="s">
        <v>102</v>
      </c>
      <c r="I396" t="s">
        <v>78</v>
      </c>
      <c r="J396" t="s">
        <v>564</v>
      </c>
      <c r="K396" t="s">
        <v>61</v>
      </c>
      <c r="L396" t="s">
        <v>62</v>
      </c>
      <c r="M396" t="s">
        <v>195</v>
      </c>
      <c r="N396" t="s">
        <v>57</v>
      </c>
      <c r="O396" s="3">
        <v>77.89</v>
      </c>
      <c r="P396">
        <v>2</v>
      </c>
      <c r="Q396" s="4">
        <v>0</v>
      </c>
      <c r="R396" s="3">
        <v>155.78</v>
      </c>
      <c r="S396" s="3">
        <v>32.35</v>
      </c>
      <c r="T396" s="3">
        <v>64.7</v>
      </c>
      <c r="U396" s="3">
        <v>91.08</v>
      </c>
      <c r="V396" s="5">
        <v>0.58467068943381695</v>
      </c>
      <c r="W396">
        <v>5</v>
      </c>
      <c r="X396" t="s">
        <v>37</v>
      </c>
      <c r="Y396" s="6">
        <v>4</v>
      </c>
    </row>
    <row r="397" spans="1:25">
      <c r="A397" t="s">
        <v>727</v>
      </c>
      <c r="B397" s="2">
        <v>45399</v>
      </c>
      <c r="C397">
        <v>2024</v>
      </c>
      <c r="D397" t="s">
        <v>229</v>
      </c>
      <c r="E397" t="s">
        <v>230</v>
      </c>
      <c r="F397" t="s">
        <v>65</v>
      </c>
      <c r="G397" t="s">
        <v>66</v>
      </c>
      <c r="H397" t="s">
        <v>67</v>
      </c>
      <c r="I397" t="s">
        <v>42</v>
      </c>
      <c r="J397" t="s">
        <v>628</v>
      </c>
      <c r="K397" t="s">
        <v>33</v>
      </c>
      <c r="L397" t="s">
        <v>34</v>
      </c>
      <c r="M397" t="s">
        <v>150</v>
      </c>
      <c r="N397" t="s">
        <v>57</v>
      </c>
      <c r="O397" s="3">
        <v>428.01</v>
      </c>
      <c r="P397">
        <v>2</v>
      </c>
      <c r="Q397" s="4">
        <v>0.1</v>
      </c>
      <c r="R397" s="3">
        <v>770.41800000000001</v>
      </c>
      <c r="S397" s="3">
        <v>251.36</v>
      </c>
      <c r="T397" s="3">
        <v>502.72</v>
      </c>
      <c r="U397" s="3">
        <v>267.69799999999998</v>
      </c>
      <c r="V397" s="5">
        <v>0.34747111308406603</v>
      </c>
      <c r="W397">
        <v>6</v>
      </c>
      <c r="X397" t="s">
        <v>37</v>
      </c>
      <c r="Y397" s="6">
        <v>4</v>
      </c>
    </row>
    <row r="398" spans="1:25">
      <c r="A398" t="s">
        <v>728</v>
      </c>
      <c r="B398" s="2">
        <v>45399</v>
      </c>
      <c r="C398">
        <v>2024</v>
      </c>
      <c r="D398" t="s">
        <v>229</v>
      </c>
      <c r="E398" t="s">
        <v>230</v>
      </c>
      <c r="F398" t="s">
        <v>51</v>
      </c>
      <c r="G398" t="s">
        <v>52</v>
      </c>
      <c r="H398" t="s">
        <v>102</v>
      </c>
      <c r="I398" t="s">
        <v>31</v>
      </c>
      <c r="J398" t="s">
        <v>699</v>
      </c>
      <c r="K398" t="s">
        <v>33</v>
      </c>
      <c r="L398" t="s">
        <v>88</v>
      </c>
      <c r="M398" t="s">
        <v>100</v>
      </c>
      <c r="N398" t="s">
        <v>57</v>
      </c>
      <c r="O398" s="3">
        <v>308.89</v>
      </c>
      <c r="P398">
        <v>4</v>
      </c>
      <c r="Q398" s="4">
        <v>0.15</v>
      </c>
      <c r="R398" s="3">
        <v>1050.2259999999999</v>
      </c>
      <c r="S398" s="3">
        <v>152.24</v>
      </c>
      <c r="T398" s="3">
        <v>608.96</v>
      </c>
      <c r="U398" s="3">
        <v>441.26599999999985</v>
      </c>
      <c r="V398" s="5">
        <v>0.42016289827141956</v>
      </c>
      <c r="W398">
        <v>4</v>
      </c>
      <c r="X398" t="s">
        <v>37</v>
      </c>
      <c r="Y398" s="6">
        <v>5</v>
      </c>
    </row>
    <row r="399" spans="1:25">
      <c r="A399" t="s">
        <v>729</v>
      </c>
      <c r="B399" s="2">
        <v>45400</v>
      </c>
      <c r="C399">
        <v>2024</v>
      </c>
      <c r="D399" t="s">
        <v>229</v>
      </c>
      <c r="E399" t="s">
        <v>230</v>
      </c>
      <c r="F399" t="s">
        <v>65</v>
      </c>
      <c r="G399" t="s">
        <v>76</v>
      </c>
      <c r="H399" t="s">
        <v>126</v>
      </c>
      <c r="I399" t="s">
        <v>31</v>
      </c>
      <c r="J399" t="s">
        <v>211</v>
      </c>
      <c r="K399" t="s">
        <v>61</v>
      </c>
      <c r="L399" t="s">
        <v>80</v>
      </c>
      <c r="M399" t="s">
        <v>81</v>
      </c>
      <c r="N399" t="s">
        <v>57</v>
      </c>
      <c r="O399" s="3">
        <v>1014.81</v>
      </c>
      <c r="P399">
        <v>1</v>
      </c>
      <c r="Q399" s="4">
        <v>0.2</v>
      </c>
      <c r="R399" s="3">
        <v>811.84799999999996</v>
      </c>
      <c r="S399" s="3">
        <v>658.97</v>
      </c>
      <c r="T399" s="3">
        <v>658.97</v>
      </c>
      <c r="U399" s="3">
        <v>152.87799999999993</v>
      </c>
      <c r="V399" s="5">
        <v>0.18830864890964805</v>
      </c>
      <c r="W399">
        <v>6</v>
      </c>
      <c r="X399" t="s">
        <v>37</v>
      </c>
      <c r="Y399" s="6">
        <v>4</v>
      </c>
    </row>
    <row r="400" spans="1:25">
      <c r="A400" t="s">
        <v>730</v>
      </c>
      <c r="B400" s="2">
        <v>45403</v>
      </c>
      <c r="C400">
        <v>2024</v>
      </c>
      <c r="D400" t="s">
        <v>229</v>
      </c>
      <c r="E400" t="s">
        <v>230</v>
      </c>
      <c r="F400" t="s">
        <v>28</v>
      </c>
      <c r="G400" t="s">
        <v>29</v>
      </c>
      <c r="H400" t="s">
        <v>30</v>
      </c>
      <c r="I400" t="s">
        <v>42</v>
      </c>
      <c r="J400" t="s">
        <v>256</v>
      </c>
      <c r="K400" t="s">
        <v>47</v>
      </c>
      <c r="L400" t="s">
        <v>55</v>
      </c>
      <c r="M400" t="s">
        <v>69</v>
      </c>
      <c r="N400" t="s">
        <v>44</v>
      </c>
      <c r="O400" s="3">
        <v>43.71</v>
      </c>
      <c r="P400">
        <v>10</v>
      </c>
      <c r="Q400" s="4">
        <v>0.15</v>
      </c>
      <c r="R400" s="3">
        <v>371.53500000000003</v>
      </c>
      <c r="S400" s="3">
        <v>21.52</v>
      </c>
      <c r="T400" s="3">
        <v>215.2</v>
      </c>
      <c r="U400" s="3">
        <v>156.33500000000004</v>
      </c>
      <c r="V400" s="5">
        <v>0.42078135303538033</v>
      </c>
      <c r="W400">
        <v>7</v>
      </c>
      <c r="X400" t="s">
        <v>37</v>
      </c>
      <c r="Y400" s="6">
        <v>4</v>
      </c>
    </row>
    <row r="401" spans="1:25">
      <c r="A401" t="s">
        <v>731</v>
      </c>
      <c r="B401" s="2">
        <v>45404</v>
      </c>
      <c r="C401">
        <v>2024</v>
      </c>
      <c r="D401" t="s">
        <v>229</v>
      </c>
      <c r="E401" t="s">
        <v>230</v>
      </c>
      <c r="F401" t="s">
        <v>51</v>
      </c>
      <c r="G401" t="s">
        <v>52</v>
      </c>
      <c r="H401" t="s">
        <v>53</v>
      </c>
      <c r="I401" t="s">
        <v>42</v>
      </c>
      <c r="J401" t="s">
        <v>322</v>
      </c>
      <c r="K401" t="s">
        <v>33</v>
      </c>
      <c r="L401" t="s">
        <v>88</v>
      </c>
      <c r="M401" t="s">
        <v>100</v>
      </c>
      <c r="N401" t="s">
        <v>57</v>
      </c>
      <c r="O401" s="3">
        <v>309.81</v>
      </c>
      <c r="P401">
        <v>5</v>
      </c>
      <c r="Q401" s="4">
        <v>0.15</v>
      </c>
      <c r="R401" s="3">
        <v>1316.6924999999999</v>
      </c>
      <c r="S401" s="3">
        <v>151.53</v>
      </c>
      <c r="T401" s="3">
        <v>757.65</v>
      </c>
      <c r="U401" s="3">
        <v>559.0424999999999</v>
      </c>
      <c r="V401" s="5">
        <v>0.42458091012138366</v>
      </c>
      <c r="W401">
        <v>10</v>
      </c>
      <c r="X401" t="s">
        <v>37</v>
      </c>
      <c r="Y401" s="6">
        <v>4</v>
      </c>
    </row>
    <row r="402" spans="1:25">
      <c r="A402" t="s">
        <v>732</v>
      </c>
      <c r="B402" s="2">
        <v>45404</v>
      </c>
      <c r="C402">
        <v>2024</v>
      </c>
      <c r="D402" t="s">
        <v>229</v>
      </c>
      <c r="E402" t="s">
        <v>230</v>
      </c>
      <c r="F402" t="s">
        <v>51</v>
      </c>
      <c r="G402" t="s">
        <v>97</v>
      </c>
      <c r="H402" t="s">
        <v>98</v>
      </c>
      <c r="I402" t="s">
        <v>42</v>
      </c>
      <c r="J402" t="s">
        <v>167</v>
      </c>
      <c r="K402" t="s">
        <v>61</v>
      </c>
      <c r="L402" t="s">
        <v>80</v>
      </c>
      <c r="M402" t="s">
        <v>187</v>
      </c>
      <c r="N402" t="s">
        <v>44</v>
      </c>
      <c r="O402" s="3">
        <v>1247.3599999999999</v>
      </c>
      <c r="P402">
        <v>4</v>
      </c>
      <c r="Q402" s="4">
        <v>0</v>
      </c>
      <c r="R402" s="3">
        <v>4989.4399999999996</v>
      </c>
      <c r="S402" s="3">
        <v>849.81</v>
      </c>
      <c r="T402" s="3">
        <v>3399.24</v>
      </c>
      <c r="U402" s="3">
        <v>1590.1999999999998</v>
      </c>
      <c r="V402" s="5">
        <v>0.31871312211390457</v>
      </c>
      <c r="W402">
        <v>6</v>
      </c>
      <c r="X402" t="s">
        <v>37</v>
      </c>
      <c r="Y402" s="6">
        <v>4</v>
      </c>
    </row>
    <row r="403" spans="1:25">
      <c r="A403" t="s">
        <v>733</v>
      </c>
      <c r="B403" s="2">
        <v>45406</v>
      </c>
      <c r="C403">
        <v>2024</v>
      </c>
      <c r="D403" t="s">
        <v>229</v>
      </c>
      <c r="E403" t="s">
        <v>230</v>
      </c>
      <c r="F403" t="s">
        <v>65</v>
      </c>
      <c r="G403" t="s">
        <v>66</v>
      </c>
      <c r="H403" t="s">
        <v>67</v>
      </c>
      <c r="I403" t="s">
        <v>31</v>
      </c>
      <c r="J403" t="s">
        <v>250</v>
      </c>
      <c r="K403" t="s">
        <v>61</v>
      </c>
      <c r="L403" t="s">
        <v>80</v>
      </c>
      <c r="M403" t="s">
        <v>187</v>
      </c>
      <c r="N403" t="s">
        <v>36</v>
      </c>
      <c r="O403" s="3">
        <v>1307.22</v>
      </c>
      <c r="P403">
        <v>2</v>
      </c>
      <c r="Q403" s="4">
        <v>0.1</v>
      </c>
      <c r="R403" s="3">
        <v>2352.9960000000001</v>
      </c>
      <c r="S403" s="3">
        <v>849.17</v>
      </c>
      <c r="T403" s="3">
        <v>1698.34</v>
      </c>
      <c r="U403" s="3">
        <v>654.65600000000018</v>
      </c>
      <c r="V403" s="5">
        <v>0.27822231742000419</v>
      </c>
      <c r="W403">
        <v>4</v>
      </c>
      <c r="X403" t="s">
        <v>37</v>
      </c>
      <c r="Y403" s="6">
        <v>4</v>
      </c>
    </row>
    <row r="404" spans="1:25">
      <c r="A404" t="s">
        <v>734</v>
      </c>
      <c r="B404" s="2">
        <v>45409</v>
      </c>
      <c r="C404">
        <v>2024</v>
      </c>
      <c r="D404" t="s">
        <v>229</v>
      </c>
      <c r="E404" t="s">
        <v>230</v>
      </c>
      <c r="F404" t="s">
        <v>65</v>
      </c>
      <c r="G404" t="s">
        <v>76</v>
      </c>
      <c r="H404" t="s">
        <v>77</v>
      </c>
      <c r="I404" t="s">
        <v>42</v>
      </c>
      <c r="J404" t="s">
        <v>474</v>
      </c>
      <c r="K404" t="s">
        <v>61</v>
      </c>
      <c r="L404" t="s">
        <v>84</v>
      </c>
      <c r="M404" t="s">
        <v>85</v>
      </c>
      <c r="N404" t="s">
        <v>57</v>
      </c>
      <c r="O404" s="3">
        <v>147.51</v>
      </c>
      <c r="P404">
        <v>1</v>
      </c>
      <c r="Q404" s="4">
        <v>0</v>
      </c>
      <c r="R404" s="3">
        <v>147.51</v>
      </c>
      <c r="S404" s="3">
        <v>72.02</v>
      </c>
      <c r="T404" s="3">
        <v>72.02</v>
      </c>
      <c r="U404" s="3">
        <v>75.489999999999995</v>
      </c>
      <c r="V404" s="5">
        <v>0.51176191444647823</v>
      </c>
      <c r="W404">
        <v>7</v>
      </c>
      <c r="X404" t="s">
        <v>37</v>
      </c>
      <c r="Y404" s="6">
        <v>4</v>
      </c>
    </row>
    <row r="405" spans="1:25">
      <c r="A405" t="s">
        <v>735</v>
      </c>
      <c r="B405" s="2">
        <v>45409</v>
      </c>
      <c r="C405">
        <v>2024</v>
      </c>
      <c r="D405" t="s">
        <v>229</v>
      </c>
      <c r="E405" t="s">
        <v>230</v>
      </c>
      <c r="F405" t="s">
        <v>65</v>
      </c>
      <c r="G405" t="s">
        <v>76</v>
      </c>
      <c r="H405" t="s">
        <v>126</v>
      </c>
      <c r="I405" t="s">
        <v>42</v>
      </c>
      <c r="J405" t="s">
        <v>129</v>
      </c>
      <c r="K405" t="s">
        <v>61</v>
      </c>
      <c r="L405" t="s">
        <v>62</v>
      </c>
      <c r="M405" t="s">
        <v>63</v>
      </c>
      <c r="N405" t="s">
        <v>36</v>
      </c>
      <c r="O405" s="3">
        <v>87.65</v>
      </c>
      <c r="P405">
        <v>2</v>
      </c>
      <c r="Q405" s="4">
        <v>0.15</v>
      </c>
      <c r="R405" s="3">
        <v>149.005</v>
      </c>
      <c r="S405" s="3">
        <v>45.02</v>
      </c>
      <c r="T405" s="3">
        <v>90.04</v>
      </c>
      <c r="U405" s="3">
        <v>58.964999999999989</v>
      </c>
      <c r="V405" s="5">
        <v>0.39572497567195725</v>
      </c>
      <c r="W405">
        <v>1</v>
      </c>
      <c r="X405" t="s">
        <v>37</v>
      </c>
      <c r="Y405" s="6">
        <v>5</v>
      </c>
    </row>
    <row r="406" spans="1:25">
      <c r="A406" t="s">
        <v>736</v>
      </c>
      <c r="B406" s="2">
        <v>45410</v>
      </c>
      <c r="C406">
        <v>2024</v>
      </c>
      <c r="D406" t="s">
        <v>229</v>
      </c>
      <c r="E406" t="s">
        <v>230</v>
      </c>
      <c r="F406" t="s">
        <v>65</v>
      </c>
      <c r="G406" t="s">
        <v>66</v>
      </c>
      <c r="H406" t="s">
        <v>67</v>
      </c>
      <c r="I406" t="s">
        <v>42</v>
      </c>
      <c r="J406" t="s">
        <v>46</v>
      </c>
      <c r="K406" t="s">
        <v>61</v>
      </c>
      <c r="L406" t="s">
        <v>84</v>
      </c>
      <c r="M406" t="s">
        <v>85</v>
      </c>
      <c r="N406" t="s">
        <v>44</v>
      </c>
      <c r="O406" s="3">
        <v>144.16999999999999</v>
      </c>
      <c r="P406">
        <v>4</v>
      </c>
      <c r="Q406" s="4">
        <v>0</v>
      </c>
      <c r="R406" s="3">
        <v>576.67999999999995</v>
      </c>
      <c r="S406" s="3">
        <v>71.760000000000005</v>
      </c>
      <c r="T406" s="3">
        <v>287.04000000000002</v>
      </c>
      <c r="U406" s="3">
        <v>289.63999999999993</v>
      </c>
      <c r="V406" s="5">
        <v>0.50225428313796205</v>
      </c>
      <c r="W406">
        <v>4</v>
      </c>
      <c r="X406" t="s">
        <v>37</v>
      </c>
      <c r="Y406" s="6">
        <v>5</v>
      </c>
    </row>
    <row r="407" spans="1:25">
      <c r="A407" t="s">
        <v>737</v>
      </c>
      <c r="B407" s="2">
        <v>45411</v>
      </c>
      <c r="C407">
        <v>2024</v>
      </c>
      <c r="D407" t="s">
        <v>229</v>
      </c>
      <c r="E407" t="s">
        <v>230</v>
      </c>
      <c r="F407" t="s">
        <v>28</v>
      </c>
      <c r="G407" t="s">
        <v>29</v>
      </c>
      <c r="H407" t="s">
        <v>106</v>
      </c>
      <c r="I407" t="s">
        <v>31</v>
      </c>
      <c r="J407" t="s">
        <v>307</v>
      </c>
      <c r="K407" t="s">
        <v>33</v>
      </c>
      <c r="L407" t="s">
        <v>34</v>
      </c>
      <c r="M407" t="s">
        <v>35</v>
      </c>
      <c r="N407" t="s">
        <v>57</v>
      </c>
      <c r="O407" s="3">
        <v>187.55</v>
      </c>
      <c r="P407">
        <v>2</v>
      </c>
      <c r="Q407" s="4">
        <v>0</v>
      </c>
      <c r="R407" s="3">
        <v>375.1</v>
      </c>
      <c r="S407" s="3">
        <v>93.75</v>
      </c>
      <c r="T407" s="3">
        <v>187.5</v>
      </c>
      <c r="U407" s="3">
        <v>187.60000000000002</v>
      </c>
      <c r="V407" s="5">
        <v>0.50013329778725679</v>
      </c>
      <c r="W407">
        <v>4</v>
      </c>
      <c r="X407" t="s">
        <v>37</v>
      </c>
      <c r="Y407" s="6">
        <v>5</v>
      </c>
    </row>
    <row r="408" spans="1:25">
      <c r="A408" t="s">
        <v>738</v>
      </c>
      <c r="B408" s="2">
        <v>45412</v>
      </c>
      <c r="C408">
        <v>2024</v>
      </c>
      <c r="D408" t="s">
        <v>229</v>
      </c>
      <c r="E408" t="s">
        <v>230</v>
      </c>
      <c r="F408" t="s">
        <v>51</v>
      </c>
      <c r="G408" t="s">
        <v>52</v>
      </c>
      <c r="H408" t="s">
        <v>102</v>
      </c>
      <c r="I408" t="s">
        <v>78</v>
      </c>
      <c r="J408" t="s">
        <v>586</v>
      </c>
      <c r="K408" t="s">
        <v>47</v>
      </c>
      <c r="L408" t="s">
        <v>114</v>
      </c>
      <c r="M408" t="s">
        <v>120</v>
      </c>
      <c r="N408" t="s">
        <v>44</v>
      </c>
      <c r="O408" s="3">
        <v>26.14</v>
      </c>
      <c r="P408">
        <v>10</v>
      </c>
      <c r="Q408" s="4">
        <v>0.2</v>
      </c>
      <c r="R408" s="3">
        <v>209.12</v>
      </c>
      <c r="S408" s="3">
        <v>10.87</v>
      </c>
      <c r="T408" s="3">
        <v>108.69999999999999</v>
      </c>
      <c r="U408" s="3">
        <v>100.42000000000002</v>
      </c>
      <c r="V408" s="5">
        <v>0.48020275439938798</v>
      </c>
      <c r="W408">
        <v>3</v>
      </c>
      <c r="X408" t="s">
        <v>37</v>
      </c>
      <c r="Y408" s="6">
        <v>5</v>
      </c>
    </row>
    <row r="409" spans="1:25">
      <c r="A409" t="s">
        <v>739</v>
      </c>
      <c r="B409" s="2">
        <v>45414</v>
      </c>
      <c r="C409">
        <v>2024</v>
      </c>
      <c r="D409" t="s">
        <v>229</v>
      </c>
      <c r="E409" t="s">
        <v>278</v>
      </c>
      <c r="F409" t="s">
        <v>65</v>
      </c>
      <c r="G409" t="s">
        <v>66</v>
      </c>
      <c r="H409" t="s">
        <v>67</v>
      </c>
      <c r="I409" t="s">
        <v>31</v>
      </c>
      <c r="J409" t="s">
        <v>740</v>
      </c>
      <c r="K409" t="s">
        <v>47</v>
      </c>
      <c r="L409" t="s">
        <v>55</v>
      </c>
      <c r="M409" t="s">
        <v>56</v>
      </c>
      <c r="N409" t="s">
        <v>36</v>
      </c>
      <c r="O409" s="3">
        <v>39.159999999999997</v>
      </c>
      <c r="P409">
        <v>4</v>
      </c>
      <c r="Q409" s="4">
        <v>0</v>
      </c>
      <c r="R409" s="3">
        <v>156.63999999999999</v>
      </c>
      <c r="S409" s="3">
        <v>16.62</v>
      </c>
      <c r="T409" s="3">
        <v>66.48</v>
      </c>
      <c r="U409" s="3">
        <v>90.159999999999982</v>
      </c>
      <c r="V409" s="5">
        <v>0.57558733401430029</v>
      </c>
      <c r="W409">
        <v>5</v>
      </c>
      <c r="X409" t="s">
        <v>37</v>
      </c>
      <c r="Y409" s="6">
        <v>4</v>
      </c>
    </row>
    <row r="410" spans="1:25">
      <c r="A410" t="s">
        <v>741</v>
      </c>
      <c r="B410" s="2">
        <v>45419</v>
      </c>
      <c r="C410">
        <v>2024</v>
      </c>
      <c r="D410" t="s">
        <v>229</v>
      </c>
      <c r="E410" t="s">
        <v>278</v>
      </c>
      <c r="F410" t="s">
        <v>51</v>
      </c>
      <c r="G410" t="s">
        <v>52</v>
      </c>
      <c r="H410" t="s">
        <v>102</v>
      </c>
      <c r="I410" t="s">
        <v>78</v>
      </c>
      <c r="J410" t="s">
        <v>590</v>
      </c>
      <c r="K410" t="s">
        <v>47</v>
      </c>
      <c r="L410" t="s">
        <v>114</v>
      </c>
      <c r="M410" t="s">
        <v>120</v>
      </c>
      <c r="N410" t="s">
        <v>57</v>
      </c>
      <c r="O410" s="3">
        <v>26.65</v>
      </c>
      <c r="P410">
        <v>3</v>
      </c>
      <c r="Q410" s="4">
        <v>0</v>
      </c>
      <c r="R410" s="3">
        <v>79.949999999999989</v>
      </c>
      <c r="S410" s="3">
        <v>11.3</v>
      </c>
      <c r="T410" s="3">
        <v>33.900000000000006</v>
      </c>
      <c r="U410" s="3">
        <v>46.049999999999983</v>
      </c>
      <c r="V410" s="5">
        <v>0.57598499061913688</v>
      </c>
      <c r="W410">
        <v>2</v>
      </c>
      <c r="X410" t="s">
        <v>37</v>
      </c>
      <c r="Y410" s="6">
        <v>5</v>
      </c>
    </row>
    <row r="411" spans="1:25">
      <c r="A411" t="s">
        <v>742</v>
      </c>
      <c r="B411" s="2">
        <v>45419</v>
      </c>
      <c r="C411">
        <v>2024</v>
      </c>
      <c r="D411" t="s">
        <v>229</v>
      </c>
      <c r="E411" t="s">
        <v>278</v>
      </c>
      <c r="F411" t="s">
        <v>65</v>
      </c>
      <c r="G411" t="s">
        <v>76</v>
      </c>
      <c r="H411" t="s">
        <v>77</v>
      </c>
      <c r="I411" t="s">
        <v>42</v>
      </c>
      <c r="J411" t="s">
        <v>623</v>
      </c>
      <c r="K411" t="s">
        <v>33</v>
      </c>
      <c r="L411" t="s">
        <v>88</v>
      </c>
      <c r="M411" t="s">
        <v>89</v>
      </c>
      <c r="N411" t="s">
        <v>36</v>
      </c>
      <c r="O411" s="3">
        <v>255.43</v>
      </c>
      <c r="P411">
        <v>5</v>
      </c>
      <c r="Q411" s="4">
        <v>0</v>
      </c>
      <c r="R411" s="3">
        <v>1277.1500000000001</v>
      </c>
      <c r="S411" s="3">
        <v>128.44999999999999</v>
      </c>
      <c r="T411" s="3">
        <v>642.25</v>
      </c>
      <c r="U411" s="3">
        <v>634.90000000000009</v>
      </c>
      <c r="V411" s="5">
        <v>0.49712249931488084</v>
      </c>
      <c r="W411">
        <v>4</v>
      </c>
      <c r="X411" t="s">
        <v>37</v>
      </c>
      <c r="Y411" s="6">
        <v>5</v>
      </c>
    </row>
    <row r="412" spans="1:25">
      <c r="A412" t="s">
        <v>743</v>
      </c>
      <c r="B412" s="2">
        <v>45419</v>
      </c>
      <c r="C412">
        <v>2024</v>
      </c>
      <c r="D412" t="s">
        <v>229</v>
      </c>
      <c r="E412" t="s">
        <v>278</v>
      </c>
      <c r="F412" t="s">
        <v>28</v>
      </c>
      <c r="G412" t="s">
        <v>29</v>
      </c>
      <c r="H412" t="s">
        <v>60</v>
      </c>
      <c r="I412" t="s">
        <v>71</v>
      </c>
      <c r="J412" t="s">
        <v>313</v>
      </c>
      <c r="K412" t="s">
        <v>47</v>
      </c>
      <c r="L412" t="s">
        <v>55</v>
      </c>
      <c r="M412" t="s">
        <v>56</v>
      </c>
      <c r="N412" t="s">
        <v>36</v>
      </c>
      <c r="O412" s="3">
        <v>39.97</v>
      </c>
      <c r="P412">
        <v>5</v>
      </c>
      <c r="Q412" s="4">
        <v>0.05</v>
      </c>
      <c r="R412" s="3">
        <v>189.85749999999999</v>
      </c>
      <c r="S412" s="3">
        <v>17.45</v>
      </c>
      <c r="T412" s="3">
        <v>87.25</v>
      </c>
      <c r="U412" s="3">
        <v>102.60749999999999</v>
      </c>
      <c r="V412" s="5">
        <v>0.54044480728967781</v>
      </c>
      <c r="W412">
        <v>7</v>
      </c>
      <c r="X412" t="s">
        <v>37</v>
      </c>
      <c r="Y412" s="6">
        <v>4</v>
      </c>
    </row>
    <row r="413" spans="1:25">
      <c r="A413" t="s">
        <v>744</v>
      </c>
      <c r="B413" s="2">
        <v>45419</v>
      </c>
      <c r="C413">
        <v>2024</v>
      </c>
      <c r="D413" t="s">
        <v>229</v>
      </c>
      <c r="E413" t="s">
        <v>278</v>
      </c>
      <c r="F413" t="s">
        <v>39</v>
      </c>
      <c r="G413" t="s">
        <v>111</v>
      </c>
      <c r="H413" t="s">
        <v>112</v>
      </c>
      <c r="I413" t="s">
        <v>71</v>
      </c>
      <c r="J413" t="s">
        <v>493</v>
      </c>
      <c r="K413" t="s">
        <v>33</v>
      </c>
      <c r="L413" t="s">
        <v>34</v>
      </c>
      <c r="M413" t="s">
        <v>150</v>
      </c>
      <c r="N413" t="s">
        <v>44</v>
      </c>
      <c r="O413" s="3">
        <v>428.27</v>
      </c>
      <c r="P413">
        <v>2</v>
      </c>
      <c r="Q413" s="4">
        <v>0</v>
      </c>
      <c r="R413" s="3">
        <v>856.54</v>
      </c>
      <c r="S413" s="3">
        <v>255.95</v>
      </c>
      <c r="T413" s="3">
        <v>511.9</v>
      </c>
      <c r="U413" s="3">
        <v>344.64</v>
      </c>
      <c r="V413" s="5">
        <v>0.40236299530669906</v>
      </c>
      <c r="W413">
        <v>2</v>
      </c>
      <c r="X413" t="s">
        <v>58</v>
      </c>
      <c r="Y413" s="6">
        <v>3</v>
      </c>
    </row>
    <row r="414" spans="1:25">
      <c r="A414" t="s">
        <v>745</v>
      </c>
      <c r="B414" s="2">
        <v>45421</v>
      </c>
      <c r="C414">
        <v>2024</v>
      </c>
      <c r="D414" t="s">
        <v>229</v>
      </c>
      <c r="E414" t="s">
        <v>278</v>
      </c>
      <c r="F414" t="s">
        <v>51</v>
      </c>
      <c r="G414" t="s">
        <v>52</v>
      </c>
      <c r="H414" t="s">
        <v>53</v>
      </c>
      <c r="I414" t="s">
        <v>31</v>
      </c>
      <c r="J414" t="s">
        <v>683</v>
      </c>
      <c r="K414" t="s">
        <v>33</v>
      </c>
      <c r="L414" t="s">
        <v>34</v>
      </c>
      <c r="M414" t="s">
        <v>150</v>
      </c>
      <c r="N414" t="s">
        <v>36</v>
      </c>
      <c r="O414" s="3">
        <v>409.11</v>
      </c>
      <c r="P414">
        <v>1</v>
      </c>
      <c r="Q414" s="4">
        <v>0.15</v>
      </c>
      <c r="R414" s="3">
        <v>347.74349999999998</v>
      </c>
      <c r="S414" s="3">
        <v>256.98</v>
      </c>
      <c r="T414" s="3">
        <v>256.98</v>
      </c>
      <c r="U414" s="3">
        <v>90.763499999999965</v>
      </c>
      <c r="V414" s="5">
        <v>0.26100703535795772</v>
      </c>
      <c r="W414">
        <v>6</v>
      </c>
      <c r="X414" t="s">
        <v>37</v>
      </c>
      <c r="Y414" s="6">
        <v>4</v>
      </c>
    </row>
    <row r="415" spans="1:25">
      <c r="A415" t="s">
        <v>746</v>
      </c>
      <c r="B415" s="2">
        <v>45425</v>
      </c>
      <c r="C415">
        <v>2024</v>
      </c>
      <c r="D415" t="s">
        <v>229</v>
      </c>
      <c r="E415" t="s">
        <v>278</v>
      </c>
      <c r="F415" t="s">
        <v>51</v>
      </c>
      <c r="G415" t="s">
        <v>97</v>
      </c>
      <c r="H415" t="s">
        <v>98</v>
      </c>
      <c r="I415" t="s">
        <v>71</v>
      </c>
      <c r="J415" t="s">
        <v>175</v>
      </c>
      <c r="K415" t="s">
        <v>61</v>
      </c>
      <c r="L415" t="s">
        <v>84</v>
      </c>
      <c r="M415" t="s">
        <v>85</v>
      </c>
      <c r="N415" t="s">
        <v>44</v>
      </c>
      <c r="O415" s="3">
        <v>142.41</v>
      </c>
      <c r="P415">
        <v>2</v>
      </c>
      <c r="Q415" s="4">
        <v>0</v>
      </c>
      <c r="R415" s="3">
        <v>284.82</v>
      </c>
      <c r="S415" s="3">
        <v>73.3</v>
      </c>
      <c r="T415" s="3">
        <v>146.6</v>
      </c>
      <c r="U415" s="3">
        <v>138.22</v>
      </c>
      <c r="V415" s="5">
        <v>0.48528895442735764</v>
      </c>
      <c r="W415">
        <v>5</v>
      </c>
      <c r="X415" t="s">
        <v>37</v>
      </c>
      <c r="Y415" s="6">
        <v>5</v>
      </c>
    </row>
    <row r="416" spans="1:25">
      <c r="A416" t="s">
        <v>747</v>
      </c>
      <c r="B416" s="2">
        <v>45425</v>
      </c>
      <c r="C416">
        <v>2024</v>
      </c>
      <c r="D416" t="s">
        <v>229</v>
      </c>
      <c r="E416" t="s">
        <v>278</v>
      </c>
      <c r="F416" t="s">
        <v>28</v>
      </c>
      <c r="G416" t="s">
        <v>29</v>
      </c>
      <c r="H416" t="s">
        <v>30</v>
      </c>
      <c r="I416" t="s">
        <v>71</v>
      </c>
      <c r="J416" t="s">
        <v>504</v>
      </c>
      <c r="K416" t="s">
        <v>61</v>
      </c>
      <c r="L416" t="s">
        <v>80</v>
      </c>
      <c r="M416" t="s">
        <v>187</v>
      </c>
      <c r="N416" t="s">
        <v>36</v>
      </c>
      <c r="O416" s="3">
        <v>1295.6600000000001</v>
      </c>
      <c r="P416">
        <v>3</v>
      </c>
      <c r="Q416" s="4">
        <v>0</v>
      </c>
      <c r="R416" s="3">
        <v>3886.9800000000005</v>
      </c>
      <c r="S416" s="3">
        <v>826.62</v>
      </c>
      <c r="T416" s="3">
        <v>2479.86</v>
      </c>
      <c r="U416" s="3">
        <v>1407.1200000000003</v>
      </c>
      <c r="V416" s="5">
        <v>0.36200855162619827</v>
      </c>
      <c r="W416">
        <v>4</v>
      </c>
      <c r="X416" t="s">
        <v>37</v>
      </c>
      <c r="Y416" s="6">
        <v>5</v>
      </c>
    </row>
    <row r="417" spans="1:25">
      <c r="A417" t="s">
        <v>748</v>
      </c>
      <c r="B417" s="2">
        <v>45426</v>
      </c>
      <c r="C417">
        <v>2024</v>
      </c>
      <c r="D417" t="s">
        <v>229</v>
      </c>
      <c r="E417" t="s">
        <v>278</v>
      </c>
      <c r="F417" t="s">
        <v>28</v>
      </c>
      <c r="G417" t="s">
        <v>29</v>
      </c>
      <c r="H417" t="s">
        <v>106</v>
      </c>
      <c r="I417" t="s">
        <v>31</v>
      </c>
      <c r="J417" t="s">
        <v>749</v>
      </c>
      <c r="K417" t="s">
        <v>33</v>
      </c>
      <c r="L417" t="s">
        <v>73</v>
      </c>
      <c r="M417" t="s">
        <v>74</v>
      </c>
      <c r="N417" t="s">
        <v>36</v>
      </c>
      <c r="O417" s="3">
        <v>714.46</v>
      </c>
      <c r="P417">
        <v>1</v>
      </c>
      <c r="Q417" s="4">
        <v>0</v>
      </c>
      <c r="R417" s="3">
        <v>714.46</v>
      </c>
      <c r="S417" s="3">
        <v>411.7</v>
      </c>
      <c r="T417" s="3">
        <v>411.7</v>
      </c>
      <c r="U417" s="3">
        <v>302.76000000000005</v>
      </c>
      <c r="V417" s="5">
        <v>0.42376060241301128</v>
      </c>
      <c r="W417">
        <v>1</v>
      </c>
      <c r="X417" t="s">
        <v>37</v>
      </c>
      <c r="Y417" s="6">
        <v>5</v>
      </c>
    </row>
    <row r="418" spans="1:25">
      <c r="A418" t="s">
        <v>750</v>
      </c>
      <c r="B418" s="2">
        <v>45430</v>
      </c>
      <c r="C418">
        <v>2024</v>
      </c>
      <c r="D418" t="s">
        <v>229</v>
      </c>
      <c r="E418" t="s">
        <v>278</v>
      </c>
      <c r="F418" t="s">
        <v>51</v>
      </c>
      <c r="G418" t="s">
        <v>97</v>
      </c>
      <c r="H418" t="s">
        <v>98</v>
      </c>
      <c r="I418" t="s">
        <v>42</v>
      </c>
      <c r="J418" t="s">
        <v>751</v>
      </c>
      <c r="K418" t="s">
        <v>47</v>
      </c>
      <c r="L418" t="s">
        <v>114</v>
      </c>
      <c r="M418" t="s">
        <v>115</v>
      </c>
      <c r="N418" t="s">
        <v>57</v>
      </c>
      <c r="O418" s="3">
        <v>18.010000000000002</v>
      </c>
      <c r="P418">
        <v>1</v>
      </c>
      <c r="Q418" s="4">
        <v>0</v>
      </c>
      <c r="R418" s="3">
        <v>18.010000000000002</v>
      </c>
      <c r="S418" s="3">
        <v>6.8</v>
      </c>
      <c r="T418" s="3">
        <v>6.8</v>
      </c>
      <c r="U418" s="3">
        <v>11.21</v>
      </c>
      <c r="V418" s="5">
        <v>0.62243198223209328</v>
      </c>
      <c r="W418">
        <v>2</v>
      </c>
      <c r="X418" t="s">
        <v>37</v>
      </c>
      <c r="Y418" s="6">
        <v>4</v>
      </c>
    </row>
    <row r="419" spans="1:25">
      <c r="A419" t="s">
        <v>752</v>
      </c>
      <c r="B419" s="2">
        <v>45433</v>
      </c>
      <c r="C419">
        <v>2024</v>
      </c>
      <c r="D419" t="s">
        <v>229</v>
      </c>
      <c r="E419" t="s">
        <v>278</v>
      </c>
      <c r="F419" t="s">
        <v>39</v>
      </c>
      <c r="G419" t="s">
        <v>111</v>
      </c>
      <c r="H419" t="s">
        <v>112</v>
      </c>
      <c r="I419" t="s">
        <v>31</v>
      </c>
      <c r="J419" t="s">
        <v>753</v>
      </c>
      <c r="K419" t="s">
        <v>33</v>
      </c>
      <c r="L419" t="s">
        <v>88</v>
      </c>
      <c r="M419" t="s">
        <v>89</v>
      </c>
      <c r="N419" t="s">
        <v>44</v>
      </c>
      <c r="O419" s="3">
        <v>241.08</v>
      </c>
      <c r="P419">
        <v>3</v>
      </c>
      <c r="Q419" s="4">
        <v>0</v>
      </c>
      <c r="R419" s="3">
        <v>723.24</v>
      </c>
      <c r="S419" s="3">
        <v>127.36</v>
      </c>
      <c r="T419" s="3">
        <v>382.08</v>
      </c>
      <c r="U419" s="3">
        <v>341.16</v>
      </c>
      <c r="V419" s="5">
        <v>0.47171063547370168</v>
      </c>
      <c r="W419">
        <v>2</v>
      </c>
      <c r="X419" t="s">
        <v>37</v>
      </c>
      <c r="Y419" s="6">
        <v>5</v>
      </c>
    </row>
    <row r="420" spans="1:25">
      <c r="A420" t="s">
        <v>754</v>
      </c>
      <c r="B420" s="2">
        <v>45434</v>
      </c>
      <c r="C420">
        <v>2024</v>
      </c>
      <c r="D420" t="s">
        <v>229</v>
      </c>
      <c r="E420" t="s">
        <v>278</v>
      </c>
      <c r="F420" t="s">
        <v>39</v>
      </c>
      <c r="G420" t="s">
        <v>91</v>
      </c>
      <c r="H420" t="s">
        <v>92</v>
      </c>
      <c r="I420" t="s">
        <v>78</v>
      </c>
      <c r="J420" t="s">
        <v>630</v>
      </c>
      <c r="K420" t="s">
        <v>33</v>
      </c>
      <c r="L420" t="s">
        <v>34</v>
      </c>
      <c r="M420" t="s">
        <v>35</v>
      </c>
      <c r="N420" t="s">
        <v>36</v>
      </c>
      <c r="O420" s="3">
        <v>180.1</v>
      </c>
      <c r="P420">
        <v>4</v>
      </c>
      <c r="Q420" s="4">
        <v>0.05</v>
      </c>
      <c r="R420" s="3">
        <v>684.38</v>
      </c>
      <c r="S420" s="3">
        <v>90.25</v>
      </c>
      <c r="T420" s="3">
        <v>361</v>
      </c>
      <c r="U420" s="3">
        <v>323.38</v>
      </c>
      <c r="V420" s="5">
        <v>0.47251526929483617</v>
      </c>
      <c r="W420">
        <v>5</v>
      </c>
      <c r="X420" t="s">
        <v>37</v>
      </c>
      <c r="Y420" s="6">
        <v>5</v>
      </c>
    </row>
    <row r="421" spans="1:25">
      <c r="A421" t="s">
        <v>755</v>
      </c>
      <c r="B421" s="2">
        <v>45435</v>
      </c>
      <c r="C421">
        <v>2024</v>
      </c>
      <c r="D421" t="s">
        <v>229</v>
      </c>
      <c r="E421" t="s">
        <v>278</v>
      </c>
      <c r="F421" t="s">
        <v>51</v>
      </c>
      <c r="G421" t="s">
        <v>52</v>
      </c>
      <c r="H421" t="s">
        <v>53</v>
      </c>
      <c r="I421" t="s">
        <v>78</v>
      </c>
      <c r="J421" t="s">
        <v>273</v>
      </c>
      <c r="K421" t="s">
        <v>61</v>
      </c>
      <c r="L421" t="s">
        <v>80</v>
      </c>
      <c r="M421" t="s">
        <v>81</v>
      </c>
      <c r="N421" t="s">
        <v>36</v>
      </c>
      <c r="O421" s="3">
        <v>1041.33</v>
      </c>
      <c r="P421">
        <v>3</v>
      </c>
      <c r="Q421" s="4">
        <v>0.15</v>
      </c>
      <c r="R421" s="3">
        <v>2655.3914999999997</v>
      </c>
      <c r="S421" s="3">
        <v>669.69</v>
      </c>
      <c r="T421" s="3">
        <v>2009.0700000000002</v>
      </c>
      <c r="U421" s="3">
        <v>646.32149999999956</v>
      </c>
      <c r="V421" s="5">
        <v>0.24339970207782907</v>
      </c>
      <c r="W421">
        <v>9</v>
      </c>
      <c r="X421" t="s">
        <v>37</v>
      </c>
      <c r="Y421" s="6">
        <v>4</v>
      </c>
    </row>
    <row r="422" spans="1:25">
      <c r="A422" t="s">
        <v>756</v>
      </c>
      <c r="B422" s="2">
        <v>45438</v>
      </c>
      <c r="C422">
        <v>2024</v>
      </c>
      <c r="D422" t="s">
        <v>229</v>
      </c>
      <c r="E422" t="s">
        <v>278</v>
      </c>
      <c r="F422" t="s">
        <v>65</v>
      </c>
      <c r="G422" t="s">
        <v>76</v>
      </c>
      <c r="H422" t="s">
        <v>126</v>
      </c>
      <c r="I422" t="s">
        <v>78</v>
      </c>
      <c r="J422" t="s">
        <v>454</v>
      </c>
      <c r="K422" t="s">
        <v>33</v>
      </c>
      <c r="L422" t="s">
        <v>34</v>
      </c>
      <c r="M422" t="s">
        <v>150</v>
      </c>
      <c r="N422" t="s">
        <v>57</v>
      </c>
      <c r="O422" s="3">
        <v>437.14</v>
      </c>
      <c r="P422">
        <v>2</v>
      </c>
      <c r="Q422" s="4">
        <v>0.1</v>
      </c>
      <c r="R422" s="3">
        <v>786.85199999999998</v>
      </c>
      <c r="S422" s="3">
        <v>247.14</v>
      </c>
      <c r="T422" s="3">
        <v>494.28</v>
      </c>
      <c r="U422" s="3">
        <v>292.572</v>
      </c>
      <c r="V422" s="5">
        <v>0.3718259596467951</v>
      </c>
      <c r="W422">
        <v>6</v>
      </c>
      <c r="X422" t="s">
        <v>37</v>
      </c>
      <c r="Y422" s="6">
        <v>4</v>
      </c>
    </row>
    <row r="423" spans="1:25">
      <c r="A423" t="s">
        <v>757</v>
      </c>
      <c r="B423" s="2">
        <v>45439</v>
      </c>
      <c r="C423">
        <v>2024</v>
      </c>
      <c r="D423" t="s">
        <v>229</v>
      </c>
      <c r="E423" t="s">
        <v>278</v>
      </c>
      <c r="F423" t="s">
        <v>28</v>
      </c>
      <c r="G423" t="s">
        <v>29</v>
      </c>
      <c r="H423" t="s">
        <v>106</v>
      </c>
      <c r="I423" t="s">
        <v>78</v>
      </c>
      <c r="J423" t="s">
        <v>758</v>
      </c>
      <c r="K423" t="s">
        <v>61</v>
      </c>
      <c r="L423" t="s">
        <v>62</v>
      </c>
      <c r="M423" t="s">
        <v>63</v>
      </c>
      <c r="N423" t="s">
        <v>36</v>
      </c>
      <c r="O423" s="3">
        <v>92.13</v>
      </c>
      <c r="P423">
        <v>5</v>
      </c>
      <c r="Q423" s="4">
        <v>0.05</v>
      </c>
      <c r="R423" s="3">
        <v>437.61749999999995</v>
      </c>
      <c r="S423" s="3">
        <v>44.41</v>
      </c>
      <c r="T423" s="3">
        <v>222.04999999999998</v>
      </c>
      <c r="U423" s="3">
        <v>215.56749999999997</v>
      </c>
      <c r="V423" s="5">
        <v>0.49259341776779947</v>
      </c>
      <c r="W423">
        <v>5</v>
      </c>
      <c r="X423" t="s">
        <v>37</v>
      </c>
      <c r="Y423" s="6">
        <v>4</v>
      </c>
    </row>
    <row r="424" spans="1:25">
      <c r="A424" t="s">
        <v>759</v>
      </c>
      <c r="B424" s="2">
        <v>45439</v>
      </c>
      <c r="C424">
        <v>2024</v>
      </c>
      <c r="D424" t="s">
        <v>229</v>
      </c>
      <c r="E424" t="s">
        <v>278</v>
      </c>
      <c r="F424" t="s">
        <v>51</v>
      </c>
      <c r="G424" t="s">
        <v>52</v>
      </c>
      <c r="H424" t="s">
        <v>53</v>
      </c>
      <c r="I424" t="s">
        <v>78</v>
      </c>
      <c r="J424" t="s">
        <v>177</v>
      </c>
      <c r="K424" t="s">
        <v>47</v>
      </c>
      <c r="L424" t="s">
        <v>48</v>
      </c>
      <c r="M424" t="s">
        <v>104</v>
      </c>
      <c r="N424" t="s">
        <v>44</v>
      </c>
      <c r="O424" s="3">
        <v>51.59</v>
      </c>
      <c r="P424">
        <v>3</v>
      </c>
      <c r="Q424" s="4">
        <v>0.2</v>
      </c>
      <c r="R424" s="3">
        <v>123.81600000000002</v>
      </c>
      <c r="S424" s="3">
        <v>31.83</v>
      </c>
      <c r="T424" s="3">
        <v>95.49</v>
      </c>
      <c r="U424" s="3">
        <v>28.326000000000022</v>
      </c>
      <c r="V424" s="5">
        <v>0.22877495638689682</v>
      </c>
      <c r="W424">
        <v>7</v>
      </c>
      <c r="X424" t="s">
        <v>58</v>
      </c>
      <c r="Y424" s="6">
        <v>2</v>
      </c>
    </row>
    <row r="425" spans="1:25">
      <c r="A425" t="s">
        <v>760</v>
      </c>
      <c r="B425" s="2">
        <v>45440</v>
      </c>
      <c r="C425">
        <v>2024</v>
      </c>
      <c r="D425" t="s">
        <v>229</v>
      </c>
      <c r="E425" t="s">
        <v>278</v>
      </c>
      <c r="F425" t="s">
        <v>28</v>
      </c>
      <c r="G425" t="s">
        <v>29</v>
      </c>
      <c r="H425" t="s">
        <v>106</v>
      </c>
      <c r="I425" t="s">
        <v>71</v>
      </c>
      <c r="J425" t="s">
        <v>264</v>
      </c>
      <c r="K425" t="s">
        <v>61</v>
      </c>
      <c r="L425" t="s">
        <v>80</v>
      </c>
      <c r="M425" t="s">
        <v>81</v>
      </c>
      <c r="N425" t="s">
        <v>57</v>
      </c>
      <c r="O425" s="3">
        <v>1002.06</v>
      </c>
      <c r="P425">
        <v>5</v>
      </c>
      <c r="Q425" s="4">
        <v>0.2</v>
      </c>
      <c r="R425" s="3">
        <v>4008.24</v>
      </c>
      <c r="S425" s="3">
        <v>641.08000000000004</v>
      </c>
      <c r="T425" s="3">
        <v>3205.4</v>
      </c>
      <c r="U425" s="3">
        <v>802.83999999999969</v>
      </c>
      <c r="V425" s="5">
        <v>0.20029738738199304</v>
      </c>
      <c r="W425">
        <v>5</v>
      </c>
      <c r="X425" t="s">
        <v>37</v>
      </c>
      <c r="Y425" s="6">
        <v>4</v>
      </c>
    </row>
    <row r="426" spans="1:25">
      <c r="A426" t="s">
        <v>761</v>
      </c>
      <c r="B426" s="2">
        <v>45440</v>
      </c>
      <c r="C426">
        <v>2024</v>
      </c>
      <c r="D426" t="s">
        <v>229</v>
      </c>
      <c r="E426" t="s">
        <v>278</v>
      </c>
      <c r="F426" t="s">
        <v>28</v>
      </c>
      <c r="G426" t="s">
        <v>29</v>
      </c>
      <c r="H426" t="s">
        <v>106</v>
      </c>
      <c r="I426" t="s">
        <v>71</v>
      </c>
      <c r="J426" t="s">
        <v>391</v>
      </c>
      <c r="K426" t="s">
        <v>61</v>
      </c>
      <c r="L426" t="s">
        <v>80</v>
      </c>
      <c r="M426" t="s">
        <v>81</v>
      </c>
      <c r="N426" t="s">
        <v>44</v>
      </c>
      <c r="O426" s="3">
        <v>967.68</v>
      </c>
      <c r="P426">
        <v>3</v>
      </c>
      <c r="Q426" s="4">
        <v>0.1</v>
      </c>
      <c r="R426" s="3">
        <v>2612.7359999999999</v>
      </c>
      <c r="S426" s="3">
        <v>657.08</v>
      </c>
      <c r="T426" s="3">
        <v>1971.2400000000002</v>
      </c>
      <c r="U426" s="3">
        <v>641.49599999999964</v>
      </c>
      <c r="V426" s="5">
        <v>0.24552652851263951</v>
      </c>
      <c r="W426">
        <v>7</v>
      </c>
      <c r="X426" t="s">
        <v>37</v>
      </c>
      <c r="Y426" s="6">
        <v>4</v>
      </c>
    </row>
    <row r="427" spans="1:25">
      <c r="A427" t="s">
        <v>762</v>
      </c>
      <c r="B427" s="2">
        <v>45441</v>
      </c>
      <c r="C427">
        <v>2024</v>
      </c>
      <c r="D427" t="s">
        <v>229</v>
      </c>
      <c r="E427" t="s">
        <v>278</v>
      </c>
      <c r="F427" t="s">
        <v>65</v>
      </c>
      <c r="G427" t="s">
        <v>76</v>
      </c>
      <c r="H427" t="s">
        <v>126</v>
      </c>
      <c r="I427" t="s">
        <v>71</v>
      </c>
      <c r="J427" t="s">
        <v>79</v>
      </c>
      <c r="K427" t="s">
        <v>33</v>
      </c>
      <c r="L427" t="s">
        <v>73</v>
      </c>
      <c r="M427" t="s">
        <v>138</v>
      </c>
      <c r="N427" t="s">
        <v>57</v>
      </c>
      <c r="O427" s="3">
        <v>342.28</v>
      </c>
      <c r="P427">
        <v>4</v>
      </c>
      <c r="Q427" s="4">
        <v>0.1</v>
      </c>
      <c r="R427" s="3">
        <v>1232.2079999999999</v>
      </c>
      <c r="S427" s="3">
        <v>176.38</v>
      </c>
      <c r="T427" s="3">
        <v>705.52</v>
      </c>
      <c r="U427" s="3">
        <v>526.68799999999987</v>
      </c>
      <c r="V427" s="5">
        <v>0.42743432926908437</v>
      </c>
      <c r="W427">
        <v>6</v>
      </c>
      <c r="X427" t="s">
        <v>37</v>
      </c>
      <c r="Y427" s="6">
        <v>5</v>
      </c>
    </row>
    <row r="428" spans="1:25">
      <c r="A428" t="s">
        <v>763</v>
      </c>
      <c r="B428" s="2">
        <v>45442</v>
      </c>
      <c r="C428">
        <v>2024</v>
      </c>
      <c r="D428" t="s">
        <v>229</v>
      </c>
      <c r="E428" t="s">
        <v>278</v>
      </c>
      <c r="F428" t="s">
        <v>51</v>
      </c>
      <c r="G428" t="s">
        <v>52</v>
      </c>
      <c r="H428" t="s">
        <v>102</v>
      </c>
      <c r="I428" t="s">
        <v>42</v>
      </c>
      <c r="J428" t="s">
        <v>413</v>
      </c>
      <c r="K428" t="s">
        <v>61</v>
      </c>
      <c r="L428" t="s">
        <v>84</v>
      </c>
      <c r="M428" t="s">
        <v>85</v>
      </c>
      <c r="N428" t="s">
        <v>36</v>
      </c>
      <c r="O428" s="3">
        <v>154.44999999999999</v>
      </c>
      <c r="P428">
        <v>2</v>
      </c>
      <c r="Q428" s="4">
        <v>0.15</v>
      </c>
      <c r="R428" s="3">
        <v>262.565</v>
      </c>
      <c r="S428" s="3">
        <v>73.569999999999993</v>
      </c>
      <c r="T428" s="3">
        <v>147.13999999999999</v>
      </c>
      <c r="U428" s="3">
        <v>115.42500000000001</v>
      </c>
      <c r="V428" s="5">
        <v>0.43960543103612443</v>
      </c>
      <c r="W428">
        <v>9</v>
      </c>
      <c r="X428" t="s">
        <v>37</v>
      </c>
      <c r="Y428" s="6">
        <v>4</v>
      </c>
    </row>
    <row r="429" spans="1:25">
      <c r="A429" t="s">
        <v>764</v>
      </c>
      <c r="B429" s="2">
        <v>45442</v>
      </c>
      <c r="C429">
        <v>2024</v>
      </c>
      <c r="D429" t="s">
        <v>229</v>
      </c>
      <c r="E429" t="s">
        <v>278</v>
      </c>
      <c r="F429" t="s">
        <v>39</v>
      </c>
      <c r="G429" t="s">
        <v>91</v>
      </c>
      <c r="H429" t="s">
        <v>92</v>
      </c>
      <c r="I429" t="s">
        <v>78</v>
      </c>
      <c r="J429" t="s">
        <v>164</v>
      </c>
      <c r="K429" t="s">
        <v>61</v>
      </c>
      <c r="L429" t="s">
        <v>80</v>
      </c>
      <c r="M429" t="s">
        <v>81</v>
      </c>
      <c r="N429" t="s">
        <v>36</v>
      </c>
      <c r="O429" s="3">
        <v>954.49</v>
      </c>
      <c r="P429">
        <v>2</v>
      </c>
      <c r="Q429" s="4">
        <v>0.1</v>
      </c>
      <c r="R429" s="3">
        <v>1718.0820000000001</v>
      </c>
      <c r="S429" s="3">
        <v>675.18</v>
      </c>
      <c r="T429" s="3">
        <v>1350.36</v>
      </c>
      <c r="U429" s="3">
        <v>367.72200000000021</v>
      </c>
      <c r="V429" s="5">
        <v>0.21403052939266007</v>
      </c>
      <c r="W429">
        <v>1</v>
      </c>
      <c r="X429" t="s">
        <v>37</v>
      </c>
      <c r="Y429" s="6">
        <v>5</v>
      </c>
    </row>
    <row r="430" spans="1:25">
      <c r="A430" t="s">
        <v>765</v>
      </c>
      <c r="B430" s="2">
        <v>45442</v>
      </c>
      <c r="C430">
        <v>2024</v>
      </c>
      <c r="D430" t="s">
        <v>229</v>
      </c>
      <c r="E430" t="s">
        <v>278</v>
      </c>
      <c r="F430" t="s">
        <v>65</v>
      </c>
      <c r="G430" t="s">
        <v>66</v>
      </c>
      <c r="H430" t="s">
        <v>67</v>
      </c>
      <c r="I430" t="s">
        <v>31</v>
      </c>
      <c r="J430" t="s">
        <v>766</v>
      </c>
      <c r="K430" t="s">
        <v>33</v>
      </c>
      <c r="L430" t="s">
        <v>34</v>
      </c>
      <c r="M430" t="s">
        <v>150</v>
      </c>
      <c r="N430" t="s">
        <v>44</v>
      </c>
      <c r="O430" s="3">
        <v>422.06</v>
      </c>
      <c r="P430">
        <v>5</v>
      </c>
      <c r="Q430" s="4">
        <v>0</v>
      </c>
      <c r="R430" s="3">
        <v>2110.3000000000002</v>
      </c>
      <c r="S430" s="3">
        <v>243.38</v>
      </c>
      <c r="T430" s="3">
        <v>1216.9000000000001</v>
      </c>
      <c r="U430" s="3">
        <v>893.40000000000009</v>
      </c>
      <c r="V430" s="5">
        <v>0.42335213002890587</v>
      </c>
      <c r="W430">
        <v>1</v>
      </c>
      <c r="X430" t="s">
        <v>37</v>
      </c>
      <c r="Y430" s="6">
        <v>5</v>
      </c>
    </row>
    <row r="431" spans="1:25">
      <c r="A431" t="s">
        <v>767</v>
      </c>
      <c r="B431" s="2">
        <v>45444</v>
      </c>
      <c r="C431">
        <v>2024</v>
      </c>
      <c r="D431" t="s">
        <v>229</v>
      </c>
      <c r="E431" t="s">
        <v>328</v>
      </c>
      <c r="F431" t="s">
        <v>39</v>
      </c>
      <c r="G431" t="s">
        <v>111</v>
      </c>
      <c r="H431" t="s">
        <v>112</v>
      </c>
      <c r="I431" t="s">
        <v>31</v>
      </c>
      <c r="J431" t="s">
        <v>527</v>
      </c>
      <c r="K431" t="s">
        <v>61</v>
      </c>
      <c r="L431" t="s">
        <v>80</v>
      </c>
      <c r="M431" t="s">
        <v>81</v>
      </c>
      <c r="N431" t="s">
        <v>36</v>
      </c>
      <c r="O431" s="3">
        <v>1011.74</v>
      </c>
      <c r="P431">
        <v>5</v>
      </c>
      <c r="Q431" s="4">
        <v>0.15</v>
      </c>
      <c r="R431" s="3">
        <v>4299.8949999999995</v>
      </c>
      <c r="S431" s="3">
        <v>660.28</v>
      </c>
      <c r="T431" s="3">
        <v>3301.3999999999996</v>
      </c>
      <c r="U431" s="3">
        <v>998.49499999999989</v>
      </c>
      <c r="V431" s="5">
        <v>0.23221380987210152</v>
      </c>
      <c r="W431">
        <v>2</v>
      </c>
      <c r="X431" t="s">
        <v>58</v>
      </c>
      <c r="Y431" s="6">
        <v>4</v>
      </c>
    </row>
    <row r="432" spans="1:25">
      <c r="A432" t="s">
        <v>768</v>
      </c>
      <c r="B432" s="2">
        <v>45445</v>
      </c>
      <c r="C432">
        <v>2024</v>
      </c>
      <c r="D432" t="s">
        <v>229</v>
      </c>
      <c r="E432" t="s">
        <v>328</v>
      </c>
      <c r="F432" t="s">
        <v>51</v>
      </c>
      <c r="G432" t="s">
        <v>97</v>
      </c>
      <c r="H432" t="s">
        <v>98</v>
      </c>
      <c r="I432" t="s">
        <v>31</v>
      </c>
      <c r="J432" t="s">
        <v>477</v>
      </c>
      <c r="K432" t="s">
        <v>47</v>
      </c>
      <c r="L432" t="s">
        <v>114</v>
      </c>
      <c r="M432" t="s">
        <v>120</v>
      </c>
      <c r="N432" t="s">
        <v>44</v>
      </c>
      <c r="O432" s="3">
        <v>25.44</v>
      </c>
      <c r="P432">
        <v>2</v>
      </c>
      <c r="Q432" s="4">
        <v>0</v>
      </c>
      <c r="R432" s="3">
        <v>50.88</v>
      </c>
      <c r="S432" s="3">
        <v>11.24</v>
      </c>
      <c r="T432" s="3">
        <v>22.48</v>
      </c>
      <c r="U432" s="3">
        <v>28.400000000000002</v>
      </c>
      <c r="V432" s="5">
        <v>0.55817610062893086</v>
      </c>
      <c r="W432">
        <v>7</v>
      </c>
      <c r="X432" t="s">
        <v>37</v>
      </c>
      <c r="Y432" s="6">
        <v>4</v>
      </c>
    </row>
    <row r="433" spans="1:25">
      <c r="A433" t="s">
        <v>769</v>
      </c>
      <c r="B433" s="2">
        <v>45448</v>
      </c>
      <c r="C433">
        <v>2024</v>
      </c>
      <c r="D433" t="s">
        <v>229</v>
      </c>
      <c r="E433" t="s">
        <v>328</v>
      </c>
      <c r="F433" t="s">
        <v>65</v>
      </c>
      <c r="G433" t="s">
        <v>76</v>
      </c>
      <c r="H433" t="s">
        <v>126</v>
      </c>
      <c r="I433" t="s">
        <v>42</v>
      </c>
      <c r="J433" t="s">
        <v>770</v>
      </c>
      <c r="K433" t="s">
        <v>61</v>
      </c>
      <c r="L433" t="s">
        <v>62</v>
      </c>
      <c r="M433" t="s">
        <v>195</v>
      </c>
      <c r="N433" t="s">
        <v>36</v>
      </c>
      <c r="O433" s="3">
        <v>78.540000000000006</v>
      </c>
      <c r="P433">
        <v>2</v>
      </c>
      <c r="Q433" s="4">
        <v>0.1</v>
      </c>
      <c r="R433" s="3">
        <v>141.37200000000001</v>
      </c>
      <c r="S433" s="3">
        <v>32.94</v>
      </c>
      <c r="T433" s="3">
        <v>65.88</v>
      </c>
      <c r="U433" s="3">
        <v>75.492000000000019</v>
      </c>
      <c r="V433" s="5">
        <v>0.53399541634835757</v>
      </c>
      <c r="W433">
        <v>5</v>
      </c>
      <c r="X433" t="s">
        <v>58</v>
      </c>
      <c r="Y433" s="6">
        <v>3</v>
      </c>
    </row>
    <row r="434" spans="1:25">
      <c r="A434" t="s">
        <v>771</v>
      </c>
      <c r="B434" s="2">
        <v>45449</v>
      </c>
      <c r="C434">
        <v>2024</v>
      </c>
      <c r="D434" t="s">
        <v>229</v>
      </c>
      <c r="E434" t="s">
        <v>328</v>
      </c>
      <c r="F434" t="s">
        <v>51</v>
      </c>
      <c r="G434" t="s">
        <v>97</v>
      </c>
      <c r="H434" t="s">
        <v>98</v>
      </c>
      <c r="I434" t="s">
        <v>71</v>
      </c>
      <c r="J434" t="s">
        <v>284</v>
      </c>
      <c r="K434" t="s">
        <v>47</v>
      </c>
      <c r="L434" t="s">
        <v>48</v>
      </c>
      <c r="M434" t="s">
        <v>49</v>
      </c>
      <c r="N434" t="s">
        <v>57</v>
      </c>
      <c r="O434" s="3">
        <v>31.15</v>
      </c>
      <c r="P434">
        <v>6</v>
      </c>
      <c r="Q434" s="4">
        <v>0.15</v>
      </c>
      <c r="R434" s="3">
        <v>158.86499999999998</v>
      </c>
      <c r="S434" s="3">
        <v>14.23</v>
      </c>
      <c r="T434" s="3">
        <v>85.38</v>
      </c>
      <c r="U434" s="3">
        <v>73.484999999999985</v>
      </c>
      <c r="V434" s="5">
        <v>0.46256255311113204</v>
      </c>
      <c r="W434">
        <v>5</v>
      </c>
      <c r="X434" t="s">
        <v>37</v>
      </c>
      <c r="Y434" s="6">
        <v>4</v>
      </c>
    </row>
    <row r="435" spans="1:25">
      <c r="A435" t="s">
        <v>772</v>
      </c>
      <c r="B435" s="2">
        <v>45449</v>
      </c>
      <c r="C435">
        <v>2024</v>
      </c>
      <c r="D435" t="s">
        <v>229</v>
      </c>
      <c r="E435" t="s">
        <v>328</v>
      </c>
      <c r="F435" t="s">
        <v>28</v>
      </c>
      <c r="G435" t="s">
        <v>29</v>
      </c>
      <c r="H435" t="s">
        <v>30</v>
      </c>
      <c r="I435" t="s">
        <v>42</v>
      </c>
      <c r="J435" t="s">
        <v>434</v>
      </c>
      <c r="K435" t="s">
        <v>47</v>
      </c>
      <c r="L435" t="s">
        <v>114</v>
      </c>
      <c r="M435" t="s">
        <v>115</v>
      </c>
      <c r="N435" t="s">
        <v>36</v>
      </c>
      <c r="O435" s="3">
        <v>18.77</v>
      </c>
      <c r="P435">
        <v>4</v>
      </c>
      <c r="Q435" s="4">
        <v>0.2</v>
      </c>
      <c r="R435" s="3">
        <v>60.064</v>
      </c>
      <c r="S435" s="3">
        <v>6.98</v>
      </c>
      <c r="T435" s="3">
        <v>27.92</v>
      </c>
      <c r="U435" s="3">
        <v>32.143999999999998</v>
      </c>
      <c r="V435" s="5">
        <v>0.53516249334043686</v>
      </c>
      <c r="W435">
        <v>2</v>
      </c>
      <c r="X435" t="s">
        <v>37</v>
      </c>
      <c r="Y435" s="6">
        <v>5</v>
      </c>
    </row>
    <row r="436" spans="1:25">
      <c r="A436" t="s">
        <v>773</v>
      </c>
      <c r="B436" s="2">
        <v>45450</v>
      </c>
      <c r="C436">
        <v>2024</v>
      </c>
      <c r="D436" t="s">
        <v>229</v>
      </c>
      <c r="E436" t="s">
        <v>328</v>
      </c>
      <c r="F436" t="s">
        <v>28</v>
      </c>
      <c r="G436" t="s">
        <v>29</v>
      </c>
      <c r="H436" t="s">
        <v>60</v>
      </c>
      <c r="I436" t="s">
        <v>31</v>
      </c>
      <c r="J436" t="s">
        <v>770</v>
      </c>
      <c r="K436" t="s">
        <v>33</v>
      </c>
      <c r="L436" t="s">
        <v>34</v>
      </c>
      <c r="M436" t="s">
        <v>35</v>
      </c>
      <c r="N436" t="s">
        <v>57</v>
      </c>
      <c r="O436" s="3">
        <v>173.5</v>
      </c>
      <c r="P436">
        <v>2</v>
      </c>
      <c r="Q436" s="4">
        <v>0</v>
      </c>
      <c r="R436" s="3">
        <v>347</v>
      </c>
      <c r="S436" s="3">
        <v>91.27</v>
      </c>
      <c r="T436" s="3">
        <v>182.54</v>
      </c>
      <c r="U436" s="3">
        <v>164.46</v>
      </c>
      <c r="V436" s="5">
        <v>0.47394812680115278</v>
      </c>
      <c r="W436">
        <v>4</v>
      </c>
      <c r="X436" t="s">
        <v>37</v>
      </c>
      <c r="Y436" s="6">
        <v>4</v>
      </c>
    </row>
    <row r="437" spans="1:25">
      <c r="A437" t="s">
        <v>774</v>
      </c>
      <c r="B437" s="2">
        <v>45451</v>
      </c>
      <c r="C437">
        <v>2024</v>
      </c>
      <c r="D437" t="s">
        <v>229</v>
      </c>
      <c r="E437" t="s">
        <v>328</v>
      </c>
      <c r="F437" t="s">
        <v>39</v>
      </c>
      <c r="G437" t="s">
        <v>91</v>
      </c>
      <c r="H437" t="s">
        <v>92</v>
      </c>
      <c r="I437" t="s">
        <v>31</v>
      </c>
      <c r="J437" t="s">
        <v>377</v>
      </c>
      <c r="K437" t="s">
        <v>61</v>
      </c>
      <c r="L437" t="s">
        <v>62</v>
      </c>
      <c r="M437" t="s">
        <v>63</v>
      </c>
      <c r="N437" t="s">
        <v>57</v>
      </c>
      <c r="O437" s="3">
        <v>91.79</v>
      </c>
      <c r="P437">
        <v>4</v>
      </c>
      <c r="Q437" s="4">
        <v>0.15</v>
      </c>
      <c r="R437" s="3">
        <v>312.08600000000001</v>
      </c>
      <c r="S437" s="3">
        <v>44.4</v>
      </c>
      <c r="T437" s="3">
        <v>177.6</v>
      </c>
      <c r="U437" s="3">
        <v>134.48600000000002</v>
      </c>
      <c r="V437" s="5">
        <v>0.43092609088520478</v>
      </c>
      <c r="W437">
        <v>5</v>
      </c>
      <c r="X437" t="s">
        <v>37</v>
      </c>
      <c r="Y437" s="6">
        <v>4</v>
      </c>
    </row>
    <row r="438" spans="1:25">
      <c r="A438" t="s">
        <v>775</v>
      </c>
      <c r="B438" s="2">
        <v>45451</v>
      </c>
      <c r="C438">
        <v>2024</v>
      </c>
      <c r="D438" t="s">
        <v>229</v>
      </c>
      <c r="E438" t="s">
        <v>328</v>
      </c>
      <c r="F438" t="s">
        <v>65</v>
      </c>
      <c r="G438" t="s">
        <v>66</v>
      </c>
      <c r="H438" t="s">
        <v>67</v>
      </c>
      <c r="I438" t="s">
        <v>42</v>
      </c>
      <c r="J438" t="s">
        <v>313</v>
      </c>
      <c r="K438" t="s">
        <v>33</v>
      </c>
      <c r="L438" t="s">
        <v>88</v>
      </c>
      <c r="M438" t="s">
        <v>100</v>
      </c>
      <c r="N438" t="s">
        <v>36</v>
      </c>
      <c r="O438" s="3">
        <v>303.33999999999997</v>
      </c>
      <c r="P438">
        <v>4</v>
      </c>
      <c r="Q438" s="4">
        <v>0.15</v>
      </c>
      <c r="R438" s="3">
        <v>1031.356</v>
      </c>
      <c r="S438" s="3">
        <v>157.55000000000001</v>
      </c>
      <c r="T438" s="3">
        <v>630.20000000000005</v>
      </c>
      <c r="U438" s="3">
        <v>401.15599999999995</v>
      </c>
      <c r="V438" s="5">
        <v>0.38895977722532271</v>
      </c>
      <c r="W438">
        <v>5</v>
      </c>
      <c r="X438" t="s">
        <v>37</v>
      </c>
      <c r="Y438" s="6">
        <v>5</v>
      </c>
    </row>
    <row r="439" spans="1:25">
      <c r="A439" t="s">
        <v>776</v>
      </c>
      <c r="B439" s="2">
        <v>45452</v>
      </c>
      <c r="C439">
        <v>2024</v>
      </c>
      <c r="D439" t="s">
        <v>229</v>
      </c>
      <c r="E439" t="s">
        <v>328</v>
      </c>
      <c r="F439" t="s">
        <v>28</v>
      </c>
      <c r="G439" t="s">
        <v>29</v>
      </c>
      <c r="H439" t="s">
        <v>106</v>
      </c>
      <c r="I439" t="s">
        <v>71</v>
      </c>
      <c r="J439" t="s">
        <v>692</v>
      </c>
      <c r="K439" t="s">
        <v>47</v>
      </c>
      <c r="L439" t="s">
        <v>114</v>
      </c>
      <c r="M439" t="s">
        <v>120</v>
      </c>
      <c r="N439" t="s">
        <v>44</v>
      </c>
      <c r="O439" s="3">
        <v>26.28</v>
      </c>
      <c r="P439">
        <v>1</v>
      </c>
      <c r="Q439" s="4">
        <v>0.2</v>
      </c>
      <c r="R439" s="3">
        <v>21.024000000000001</v>
      </c>
      <c r="S439" s="3">
        <v>11</v>
      </c>
      <c r="T439" s="3">
        <v>11</v>
      </c>
      <c r="U439" s="3">
        <v>10.024000000000001</v>
      </c>
      <c r="V439" s="5">
        <v>0.47678843226788437</v>
      </c>
      <c r="W439">
        <v>1</v>
      </c>
      <c r="X439" t="s">
        <v>37</v>
      </c>
      <c r="Y439" s="6">
        <v>5</v>
      </c>
    </row>
    <row r="440" spans="1:25">
      <c r="A440" t="s">
        <v>777</v>
      </c>
      <c r="B440" s="2">
        <v>45452</v>
      </c>
      <c r="C440">
        <v>2024</v>
      </c>
      <c r="D440" t="s">
        <v>229</v>
      </c>
      <c r="E440" t="s">
        <v>328</v>
      </c>
      <c r="F440" t="s">
        <v>39</v>
      </c>
      <c r="G440" t="s">
        <v>91</v>
      </c>
      <c r="H440" t="s">
        <v>92</v>
      </c>
      <c r="I440" t="s">
        <v>71</v>
      </c>
      <c r="J440" t="s">
        <v>324</v>
      </c>
      <c r="K440" t="s">
        <v>61</v>
      </c>
      <c r="L440" t="s">
        <v>84</v>
      </c>
      <c r="M440" t="s">
        <v>85</v>
      </c>
      <c r="N440" t="s">
        <v>44</v>
      </c>
      <c r="O440" s="3">
        <v>143.97</v>
      </c>
      <c r="P440">
        <v>4</v>
      </c>
      <c r="Q440" s="4">
        <v>0</v>
      </c>
      <c r="R440" s="3">
        <v>575.88</v>
      </c>
      <c r="S440" s="3">
        <v>73.209999999999994</v>
      </c>
      <c r="T440" s="3">
        <v>292.83999999999997</v>
      </c>
      <c r="U440" s="3">
        <v>283.04000000000002</v>
      </c>
      <c r="V440" s="5">
        <v>0.49149128290616106</v>
      </c>
      <c r="W440">
        <v>4</v>
      </c>
      <c r="X440" t="s">
        <v>37</v>
      </c>
      <c r="Y440" s="6">
        <v>5</v>
      </c>
    </row>
    <row r="441" spans="1:25">
      <c r="A441" t="s">
        <v>778</v>
      </c>
      <c r="B441" s="2">
        <v>45453</v>
      </c>
      <c r="C441">
        <v>2024</v>
      </c>
      <c r="D441" t="s">
        <v>229</v>
      </c>
      <c r="E441" t="s">
        <v>328</v>
      </c>
      <c r="F441" t="s">
        <v>51</v>
      </c>
      <c r="G441" t="s">
        <v>52</v>
      </c>
      <c r="H441" t="s">
        <v>102</v>
      </c>
      <c r="I441" t="s">
        <v>42</v>
      </c>
      <c r="J441" t="s">
        <v>779</v>
      </c>
      <c r="K441" t="s">
        <v>33</v>
      </c>
      <c r="L441" t="s">
        <v>88</v>
      </c>
      <c r="M441" t="s">
        <v>89</v>
      </c>
      <c r="N441" t="s">
        <v>36</v>
      </c>
      <c r="O441" s="3">
        <v>236.69</v>
      </c>
      <c r="P441">
        <v>3</v>
      </c>
      <c r="Q441" s="4">
        <v>0.15</v>
      </c>
      <c r="R441" s="3">
        <v>603.55949999999996</v>
      </c>
      <c r="S441" s="3">
        <v>127.36</v>
      </c>
      <c r="T441" s="3">
        <v>382.08</v>
      </c>
      <c r="U441" s="3">
        <v>221.47949999999997</v>
      </c>
      <c r="V441" s="5">
        <v>0.36695553628101285</v>
      </c>
      <c r="W441">
        <v>7</v>
      </c>
      <c r="X441" t="s">
        <v>37</v>
      </c>
      <c r="Y441" s="6">
        <v>3</v>
      </c>
    </row>
    <row r="442" spans="1:25">
      <c r="A442" t="s">
        <v>780</v>
      </c>
      <c r="B442" s="2">
        <v>45453</v>
      </c>
      <c r="C442">
        <v>2024</v>
      </c>
      <c r="D442" t="s">
        <v>229</v>
      </c>
      <c r="E442" t="s">
        <v>328</v>
      </c>
      <c r="F442" t="s">
        <v>39</v>
      </c>
      <c r="G442" t="s">
        <v>111</v>
      </c>
      <c r="H442" t="s">
        <v>112</v>
      </c>
      <c r="I442" t="s">
        <v>78</v>
      </c>
      <c r="J442" t="s">
        <v>751</v>
      </c>
      <c r="K442" t="s">
        <v>61</v>
      </c>
      <c r="L442" t="s">
        <v>84</v>
      </c>
      <c r="M442" t="s">
        <v>85</v>
      </c>
      <c r="N442" t="s">
        <v>44</v>
      </c>
      <c r="O442" s="3">
        <v>144.33000000000001</v>
      </c>
      <c r="P442">
        <v>1</v>
      </c>
      <c r="Q442" s="4">
        <v>0</v>
      </c>
      <c r="R442" s="3">
        <v>144.33000000000001</v>
      </c>
      <c r="S442" s="3">
        <v>73.67</v>
      </c>
      <c r="T442" s="3">
        <v>73.67</v>
      </c>
      <c r="U442" s="3">
        <v>70.660000000000011</v>
      </c>
      <c r="V442" s="5">
        <v>0.48957250744820902</v>
      </c>
      <c r="W442">
        <v>1</v>
      </c>
      <c r="X442" t="s">
        <v>37</v>
      </c>
      <c r="Y442" s="6">
        <v>5</v>
      </c>
    </row>
    <row r="443" spans="1:25">
      <c r="A443" t="s">
        <v>781</v>
      </c>
      <c r="B443" s="2">
        <v>45454</v>
      </c>
      <c r="C443">
        <v>2024</v>
      </c>
      <c r="D443" t="s">
        <v>229</v>
      </c>
      <c r="E443" t="s">
        <v>328</v>
      </c>
      <c r="F443" t="s">
        <v>51</v>
      </c>
      <c r="G443" t="s">
        <v>97</v>
      </c>
      <c r="H443" t="s">
        <v>98</v>
      </c>
      <c r="I443" t="s">
        <v>78</v>
      </c>
      <c r="J443" t="s">
        <v>661</v>
      </c>
      <c r="K443" t="s">
        <v>33</v>
      </c>
      <c r="L443" t="s">
        <v>34</v>
      </c>
      <c r="M443" t="s">
        <v>150</v>
      </c>
      <c r="N443" t="s">
        <v>57</v>
      </c>
      <c r="O443" s="3">
        <v>426.47</v>
      </c>
      <c r="P443">
        <v>3</v>
      </c>
      <c r="Q443" s="4">
        <v>0.2</v>
      </c>
      <c r="R443" s="3">
        <v>1023.5280000000001</v>
      </c>
      <c r="S443" s="3">
        <v>250.7</v>
      </c>
      <c r="T443" s="3">
        <v>752.09999999999991</v>
      </c>
      <c r="U443" s="3">
        <v>271.42800000000022</v>
      </c>
      <c r="V443" s="5">
        <v>0.2651886416395059</v>
      </c>
      <c r="W443">
        <v>10</v>
      </c>
      <c r="X443" t="s">
        <v>37</v>
      </c>
      <c r="Y443" s="6">
        <v>3</v>
      </c>
    </row>
    <row r="444" spans="1:25">
      <c r="A444" t="s">
        <v>782</v>
      </c>
      <c r="B444" s="2">
        <v>45455</v>
      </c>
      <c r="C444">
        <v>2024</v>
      </c>
      <c r="D444" t="s">
        <v>229</v>
      </c>
      <c r="E444" t="s">
        <v>328</v>
      </c>
      <c r="F444" t="s">
        <v>39</v>
      </c>
      <c r="G444" t="s">
        <v>111</v>
      </c>
      <c r="H444" t="s">
        <v>112</v>
      </c>
      <c r="I444" t="s">
        <v>71</v>
      </c>
      <c r="J444" t="s">
        <v>626</v>
      </c>
      <c r="K444" t="s">
        <v>61</v>
      </c>
      <c r="L444" t="s">
        <v>80</v>
      </c>
      <c r="M444" t="s">
        <v>81</v>
      </c>
      <c r="N444" t="s">
        <v>36</v>
      </c>
      <c r="O444" s="3">
        <v>971.57</v>
      </c>
      <c r="P444">
        <v>3</v>
      </c>
      <c r="Q444" s="4">
        <v>0.15</v>
      </c>
      <c r="R444" s="3">
        <v>2477.5034999999998</v>
      </c>
      <c r="S444" s="3">
        <v>672.94</v>
      </c>
      <c r="T444" s="3">
        <v>2018.8200000000002</v>
      </c>
      <c r="U444" s="3">
        <v>458.68349999999964</v>
      </c>
      <c r="V444" s="5">
        <v>0.18513939536311438</v>
      </c>
      <c r="W444">
        <v>4</v>
      </c>
      <c r="X444" t="s">
        <v>37</v>
      </c>
      <c r="Y444" s="6">
        <v>4</v>
      </c>
    </row>
    <row r="445" spans="1:25">
      <c r="A445" t="s">
        <v>783</v>
      </c>
      <c r="B445" s="2">
        <v>45458</v>
      </c>
      <c r="C445">
        <v>2024</v>
      </c>
      <c r="D445" t="s">
        <v>229</v>
      </c>
      <c r="E445" t="s">
        <v>328</v>
      </c>
      <c r="F445" t="s">
        <v>65</v>
      </c>
      <c r="G445" t="s">
        <v>76</v>
      </c>
      <c r="H445" t="s">
        <v>77</v>
      </c>
      <c r="I445" t="s">
        <v>71</v>
      </c>
      <c r="J445" t="s">
        <v>346</v>
      </c>
      <c r="K445" t="s">
        <v>61</v>
      </c>
      <c r="L445" t="s">
        <v>62</v>
      </c>
      <c r="M445" t="s">
        <v>63</v>
      </c>
      <c r="N445" t="s">
        <v>36</v>
      </c>
      <c r="O445" s="3">
        <v>92.29</v>
      </c>
      <c r="P445">
        <v>1</v>
      </c>
      <c r="Q445" s="4">
        <v>0.2</v>
      </c>
      <c r="R445" s="3">
        <v>73.832000000000008</v>
      </c>
      <c r="S445" s="3">
        <v>44.1</v>
      </c>
      <c r="T445" s="3">
        <v>44.1</v>
      </c>
      <c r="U445" s="3">
        <v>29.732000000000006</v>
      </c>
      <c r="V445" s="5">
        <v>0.40269801711994802</v>
      </c>
      <c r="W445">
        <v>1</v>
      </c>
      <c r="X445" t="s">
        <v>58</v>
      </c>
      <c r="Y445" s="6">
        <v>4</v>
      </c>
    </row>
    <row r="446" spans="1:25">
      <c r="A446" t="s">
        <v>784</v>
      </c>
      <c r="B446" s="2">
        <v>45460</v>
      </c>
      <c r="C446">
        <v>2024</v>
      </c>
      <c r="D446" t="s">
        <v>229</v>
      </c>
      <c r="E446" t="s">
        <v>328</v>
      </c>
      <c r="F446" t="s">
        <v>39</v>
      </c>
      <c r="G446" t="s">
        <v>91</v>
      </c>
      <c r="H446" t="s">
        <v>92</v>
      </c>
      <c r="I446" t="s">
        <v>31</v>
      </c>
      <c r="J446" t="s">
        <v>213</v>
      </c>
      <c r="K446" t="s">
        <v>33</v>
      </c>
      <c r="L446" t="s">
        <v>73</v>
      </c>
      <c r="M446" t="s">
        <v>74</v>
      </c>
      <c r="N446" t="s">
        <v>57</v>
      </c>
      <c r="O446" s="3">
        <v>687.24</v>
      </c>
      <c r="P446">
        <v>5</v>
      </c>
      <c r="Q446" s="4">
        <v>0.1</v>
      </c>
      <c r="R446" s="3">
        <v>3092.58</v>
      </c>
      <c r="S446" s="3">
        <v>429.75</v>
      </c>
      <c r="T446" s="3">
        <v>2148.75</v>
      </c>
      <c r="U446" s="3">
        <v>943.82999999999993</v>
      </c>
      <c r="V446" s="5">
        <v>0.30519178161923055</v>
      </c>
      <c r="W446">
        <v>1</v>
      </c>
      <c r="X446" t="s">
        <v>37</v>
      </c>
      <c r="Y446" s="6">
        <v>5</v>
      </c>
    </row>
    <row r="447" spans="1:25">
      <c r="A447" t="s">
        <v>785</v>
      </c>
      <c r="B447" s="2">
        <v>45460</v>
      </c>
      <c r="C447">
        <v>2024</v>
      </c>
      <c r="D447" t="s">
        <v>229</v>
      </c>
      <c r="E447" t="s">
        <v>328</v>
      </c>
      <c r="F447" t="s">
        <v>65</v>
      </c>
      <c r="G447" t="s">
        <v>66</v>
      </c>
      <c r="H447" t="s">
        <v>67</v>
      </c>
      <c r="I447" t="s">
        <v>71</v>
      </c>
      <c r="J447" t="s">
        <v>606</v>
      </c>
      <c r="K447" t="s">
        <v>47</v>
      </c>
      <c r="L447" t="s">
        <v>114</v>
      </c>
      <c r="M447" t="s">
        <v>115</v>
      </c>
      <c r="N447" t="s">
        <v>57</v>
      </c>
      <c r="O447" s="3">
        <v>17.37</v>
      </c>
      <c r="P447">
        <v>8</v>
      </c>
      <c r="Q447" s="4">
        <v>0.1</v>
      </c>
      <c r="R447" s="3">
        <v>125.06400000000001</v>
      </c>
      <c r="S447" s="3">
        <v>6.87</v>
      </c>
      <c r="T447" s="3">
        <v>54.96</v>
      </c>
      <c r="U447" s="3">
        <v>70.104000000000013</v>
      </c>
      <c r="V447" s="5">
        <v>0.56054500095950877</v>
      </c>
      <c r="W447">
        <v>1</v>
      </c>
      <c r="X447" t="s">
        <v>37</v>
      </c>
      <c r="Y447" s="6">
        <v>5</v>
      </c>
    </row>
    <row r="448" spans="1:25">
      <c r="A448" t="s">
        <v>786</v>
      </c>
      <c r="B448" s="2">
        <v>45460</v>
      </c>
      <c r="C448">
        <v>2024</v>
      </c>
      <c r="D448" t="s">
        <v>229</v>
      </c>
      <c r="E448" t="s">
        <v>328</v>
      </c>
      <c r="F448" t="s">
        <v>39</v>
      </c>
      <c r="G448" t="s">
        <v>111</v>
      </c>
      <c r="H448" t="s">
        <v>112</v>
      </c>
      <c r="I448" t="s">
        <v>78</v>
      </c>
      <c r="J448" t="s">
        <v>787</v>
      </c>
      <c r="K448" t="s">
        <v>47</v>
      </c>
      <c r="L448" t="s">
        <v>48</v>
      </c>
      <c r="M448" t="s">
        <v>104</v>
      </c>
      <c r="N448" t="s">
        <v>44</v>
      </c>
      <c r="O448" s="3">
        <v>51.86</v>
      </c>
      <c r="P448">
        <v>9</v>
      </c>
      <c r="Q448" s="4">
        <v>0.1</v>
      </c>
      <c r="R448" s="3">
        <v>420.06600000000003</v>
      </c>
      <c r="S448" s="3">
        <v>30.84</v>
      </c>
      <c r="T448" s="3">
        <v>277.56</v>
      </c>
      <c r="U448" s="3">
        <v>142.50600000000003</v>
      </c>
      <c r="V448" s="5">
        <v>0.33924668980588768</v>
      </c>
      <c r="W448">
        <v>6</v>
      </c>
      <c r="X448" t="s">
        <v>58</v>
      </c>
      <c r="Y448" s="6">
        <v>3</v>
      </c>
    </row>
    <row r="449" spans="1:25">
      <c r="A449" t="s">
        <v>788</v>
      </c>
      <c r="B449" s="2">
        <v>45461</v>
      </c>
      <c r="C449">
        <v>2024</v>
      </c>
      <c r="D449" t="s">
        <v>229</v>
      </c>
      <c r="E449" t="s">
        <v>328</v>
      </c>
      <c r="F449" t="s">
        <v>65</v>
      </c>
      <c r="G449" t="s">
        <v>76</v>
      </c>
      <c r="H449" t="s">
        <v>126</v>
      </c>
      <c r="I449" t="s">
        <v>71</v>
      </c>
      <c r="J449" t="s">
        <v>122</v>
      </c>
      <c r="K449" t="s">
        <v>47</v>
      </c>
      <c r="L449" t="s">
        <v>55</v>
      </c>
      <c r="M449" t="s">
        <v>69</v>
      </c>
      <c r="N449" t="s">
        <v>44</v>
      </c>
      <c r="O449" s="3">
        <v>45.99</v>
      </c>
      <c r="P449">
        <v>1</v>
      </c>
      <c r="Q449" s="4">
        <v>0</v>
      </c>
      <c r="R449" s="3">
        <v>45.99</v>
      </c>
      <c r="S449" s="3">
        <v>21.59</v>
      </c>
      <c r="T449" s="3">
        <v>21.59</v>
      </c>
      <c r="U449" s="3">
        <v>24.400000000000002</v>
      </c>
      <c r="V449" s="5">
        <v>0.53055011959121545</v>
      </c>
      <c r="W449">
        <v>3</v>
      </c>
      <c r="X449" t="s">
        <v>37</v>
      </c>
      <c r="Y449" s="6">
        <v>5</v>
      </c>
    </row>
    <row r="450" spans="1:25">
      <c r="A450" t="s">
        <v>789</v>
      </c>
      <c r="B450" s="2">
        <v>45461</v>
      </c>
      <c r="C450">
        <v>2024</v>
      </c>
      <c r="D450" t="s">
        <v>229</v>
      </c>
      <c r="E450" t="s">
        <v>328</v>
      </c>
      <c r="F450" t="s">
        <v>65</v>
      </c>
      <c r="G450" t="s">
        <v>66</v>
      </c>
      <c r="H450" t="s">
        <v>67</v>
      </c>
      <c r="I450" t="s">
        <v>42</v>
      </c>
      <c r="J450" t="s">
        <v>604</v>
      </c>
      <c r="K450" t="s">
        <v>47</v>
      </c>
      <c r="L450" t="s">
        <v>55</v>
      </c>
      <c r="M450" t="s">
        <v>69</v>
      </c>
      <c r="N450" t="s">
        <v>57</v>
      </c>
      <c r="O450" s="3">
        <v>43.87</v>
      </c>
      <c r="P450">
        <v>9</v>
      </c>
      <c r="Q450" s="4">
        <v>0</v>
      </c>
      <c r="R450" s="3">
        <v>394.83</v>
      </c>
      <c r="S450" s="3">
        <v>21.51</v>
      </c>
      <c r="T450" s="3">
        <v>193.59</v>
      </c>
      <c r="U450" s="3">
        <v>201.23999999999998</v>
      </c>
      <c r="V450" s="5">
        <v>0.50968771369956689</v>
      </c>
      <c r="W450">
        <v>7</v>
      </c>
      <c r="X450" t="s">
        <v>37</v>
      </c>
      <c r="Y450" s="6">
        <v>4</v>
      </c>
    </row>
    <row r="451" spans="1:25">
      <c r="A451" t="s">
        <v>790</v>
      </c>
      <c r="B451" s="2">
        <v>45461</v>
      </c>
      <c r="C451">
        <v>2024</v>
      </c>
      <c r="D451" t="s">
        <v>229</v>
      </c>
      <c r="E451" t="s">
        <v>328</v>
      </c>
      <c r="F451" t="s">
        <v>51</v>
      </c>
      <c r="G451" t="s">
        <v>52</v>
      </c>
      <c r="H451" t="s">
        <v>102</v>
      </c>
      <c r="I451" t="s">
        <v>71</v>
      </c>
      <c r="J451" t="s">
        <v>472</v>
      </c>
      <c r="K451" t="s">
        <v>61</v>
      </c>
      <c r="L451" t="s">
        <v>62</v>
      </c>
      <c r="M451" t="s">
        <v>63</v>
      </c>
      <c r="N451" t="s">
        <v>44</v>
      </c>
      <c r="O451" s="3">
        <v>91.87</v>
      </c>
      <c r="P451">
        <v>3</v>
      </c>
      <c r="Q451" s="4">
        <v>0.15</v>
      </c>
      <c r="R451" s="3">
        <v>234.26850000000002</v>
      </c>
      <c r="S451" s="3">
        <v>44.73</v>
      </c>
      <c r="T451" s="3">
        <v>134.19</v>
      </c>
      <c r="U451" s="3">
        <v>100.07850000000002</v>
      </c>
      <c r="V451" s="5">
        <v>0.42719571773413845</v>
      </c>
      <c r="W451">
        <v>9</v>
      </c>
      <c r="X451" t="s">
        <v>58</v>
      </c>
      <c r="Y451" s="6">
        <v>2</v>
      </c>
    </row>
    <row r="452" spans="1:25">
      <c r="A452" t="s">
        <v>791</v>
      </c>
      <c r="B452" s="2">
        <v>45463</v>
      </c>
      <c r="C452">
        <v>2024</v>
      </c>
      <c r="D452" t="s">
        <v>229</v>
      </c>
      <c r="E452" t="s">
        <v>328</v>
      </c>
      <c r="F452" t="s">
        <v>39</v>
      </c>
      <c r="G452" t="s">
        <v>111</v>
      </c>
      <c r="H452" t="s">
        <v>112</v>
      </c>
      <c r="I452" t="s">
        <v>78</v>
      </c>
      <c r="J452" t="s">
        <v>311</v>
      </c>
      <c r="K452" t="s">
        <v>47</v>
      </c>
      <c r="L452" t="s">
        <v>114</v>
      </c>
      <c r="M452" t="s">
        <v>115</v>
      </c>
      <c r="N452" t="s">
        <v>57</v>
      </c>
      <c r="O452" s="3">
        <v>18.850000000000001</v>
      </c>
      <c r="P452">
        <v>1</v>
      </c>
      <c r="Q452" s="4">
        <v>0.1</v>
      </c>
      <c r="R452" s="3">
        <v>16.965000000000003</v>
      </c>
      <c r="S452" s="3">
        <v>6.88</v>
      </c>
      <c r="T452" s="3">
        <v>6.88</v>
      </c>
      <c r="U452" s="3">
        <v>10.085000000000004</v>
      </c>
      <c r="V452" s="5">
        <v>0.59445918066607739</v>
      </c>
      <c r="W452">
        <v>7</v>
      </c>
      <c r="X452" t="s">
        <v>37</v>
      </c>
      <c r="Y452" s="6">
        <v>4</v>
      </c>
    </row>
    <row r="453" spans="1:25">
      <c r="A453" t="s">
        <v>792</v>
      </c>
      <c r="B453" s="2">
        <v>45464</v>
      </c>
      <c r="C453">
        <v>2024</v>
      </c>
      <c r="D453" t="s">
        <v>229</v>
      </c>
      <c r="E453" t="s">
        <v>328</v>
      </c>
      <c r="F453" t="s">
        <v>51</v>
      </c>
      <c r="G453" t="s">
        <v>52</v>
      </c>
      <c r="H453" t="s">
        <v>53</v>
      </c>
      <c r="I453" t="s">
        <v>42</v>
      </c>
      <c r="J453" t="s">
        <v>225</v>
      </c>
      <c r="K453" t="s">
        <v>33</v>
      </c>
      <c r="L453" t="s">
        <v>73</v>
      </c>
      <c r="M453" t="s">
        <v>138</v>
      </c>
      <c r="N453" t="s">
        <v>57</v>
      </c>
      <c r="O453" s="3">
        <v>335.7</v>
      </c>
      <c r="P453">
        <v>5</v>
      </c>
      <c r="Q453" s="4">
        <v>0.05</v>
      </c>
      <c r="R453" s="3">
        <v>1594.5749999999998</v>
      </c>
      <c r="S453" s="3">
        <v>182.07</v>
      </c>
      <c r="T453" s="3">
        <v>910.34999999999991</v>
      </c>
      <c r="U453" s="3">
        <v>684.22499999999991</v>
      </c>
      <c r="V453" s="5">
        <v>0.4290955270213066</v>
      </c>
      <c r="W453">
        <v>9</v>
      </c>
      <c r="X453" t="s">
        <v>37</v>
      </c>
      <c r="Y453" s="6">
        <v>4</v>
      </c>
    </row>
    <row r="454" spans="1:25">
      <c r="A454" t="s">
        <v>793</v>
      </c>
      <c r="B454" s="2">
        <v>45465</v>
      </c>
      <c r="C454">
        <v>2024</v>
      </c>
      <c r="D454" t="s">
        <v>229</v>
      </c>
      <c r="E454" t="s">
        <v>328</v>
      </c>
      <c r="F454" t="s">
        <v>51</v>
      </c>
      <c r="G454" t="s">
        <v>52</v>
      </c>
      <c r="H454" t="s">
        <v>53</v>
      </c>
      <c r="I454" t="s">
        <v>42</v>
      </c>
      <c r="J454" t="s">
        <v>413</v>
      </c>
      <c r="K454" t="s">
        <v>47</v>
      </c>
      <c r="L454" t="s">
        <v>114</v>
      </c>
      <c r="M454" t="s">
        <v>120</v>
      </c>
      <c r="N454" t="s">
        <v>44</v>
      </c>
      <c r="O454" s="3">
        <v>24.78</v>
      </c>
      <c r="P454">
        <v>8</v>
      </c>
      <c r="Q454" s="4">
        <v>0</v>
      </c>
      <c r="R454" s="3">
        <v>198.24</v>
      </c>
      <c r="S454" s="3">
        <v>10.77</v>
      </c>
      <c r="T454" s="3">
        <v>86.16</v>
      </c>
      <c r="U454" s="3">
        <v>112.08000000000001</v>
      </c>
      <c r="V454" s="5">
        <v>0.56537530266343827</v>
      </c>
      <c r="W454">
        <v>8</v>
      </c>
      <c r="X454" t="s">
        <v>37</v>
      </c>
      <c r="Y454" s="6">
        <v>4</v>
      </c>
    </row>
    <row r="455" spans="1:25">
      <c r="A455" t="s">
        <v>794</v>
      </c>
      <c r="B455" s="2">
        <v>45466</v>
      </c>
      <c r="C455">
        <v>2024</v>
      </c>
      <c r="D455" t="s">
        <v>229</v>
      </c>
      <c r="E455" t="s">
        <v>328</v>
      </c>
      <c r="F455" t="s">
        <v>28</v>
      </c>
      <c r="G455" t="s">
        <v>29</v>
      </c>
      <c r="H455" t="s">
        <v>60</v>
      </c>
      <c r="I455" t="s">
        <v>78</v>
      </c>
      <c r="J455" t="s">
        <v>209</v>
      </c>
      <c r="K455" t="s">
        <v>47</v>
      </c>
      <c r="L455" t="s">
        <v>55</v>
      </c>
      <c r="M455" t="s">
        <v>56</v>
      </c>
      <c r="N455" t="s">
        <v>44</v>
      </c>
      <c r="O455" s="3">
        <v>39.68</v>
      </c>
      <c r="P455">
        <v>2</v>
      </c>
      <c r="Q455" s="4">
        <v>0</v>
      </c>
      <c r="R455" s="3">
        <v>79.36</v>
      </c>
      <c r="S455" s="3">
        <v>17</v>
      </c>
      <c r="T455" s="3">
        <v>34</v>
      </c>
      <c r="U455" s="3">
        <v>45.36</v>
      </c>
      <c r="V455" s="5">
        <v>0.57157258064516125</v>
      </c>
      <c r="W455">
        <v>3</v>
      </c>
      <c r="X455" t="s">
        <v>37</v>
      </c>
      <c r="Y455" s="6">
        <v>4</v>
      </c>
    </row>
    <row r="456" spans="1:25">
      <c r="A456" t="s">
        <v>795</v>
      </c>
      <c r="B456" s="2">
        <v>45466</v>
      </c>
      <c r="C456">
        <v>2024</v>
      </c>
      <c r="D456" t="s">
        <v>229</v>
      </c>
      <c r="E456" t="s">
        <v>328</v>
      </c>
      <c r="F456" t="s">
        <v>28</v>
      </c>
      <c r="G456" t="s">
        <v>29</v>
      </c>
      <c r="H456" t="s">
        <v>106</v>
      </c>
      <c r="I456" t="s">
        <v>31</v>
      </c>
      <c r="J456" t="s">
        <v>217</v>
      </c>
      <c r="K456" t="s">
        <v>33</v>
      </c>
      <c r="L456" t="s">
        <v>34</v>
      </c>
      <c r="M456" t="s">
        <v>150</v>
      </c>
      <c r="N456" t="s">
        <v>36</v>
      </c>
      <c r="O456" s="3">
        <v>419.96</v>
      </c>
      <c r="P456">
        <v>4</v>
      </c>
      <c r="Q456" s="4">
        <v>0.15</v>
      </c>
      <c r="R456" s="3">
        <v>1427.8639999999998</v>
      </c>
      <c r="S456" s="3">
        <v>250.41</v>
      </c>
      <c r="T456" s="3">
        <v>1001.64</v>
      </c>
      <c r="U456" s="3">
        <v>426.22399999999982</v>
      </c>
      <c r="V456" s="5">
        <v>0.29850461948757018</v>
      </c>
      <c r="W456">
        <v>5</v>
      </c>
      <c r="X456" t="s">
        <v>58</v>
      </c>
      <c r="Y456" s="6">
        <v>3</v>
      </c>
    </row>
    <row r="457" spans="1:25">
      <c r="A457" t="s">
        <v>796</v>
      </c>
      <c r="B457" s="2">
        <v>45467</v>
      </c>
      <c r="C457">
        <v>2024</v>
      </c>
      <c r="D457" t="s">
        <v>229</v>
      </c>
      <c r="E457" t="s">
        <v>328</v>
      </c>
      <c r="F457" t="s">
        <v>51</v>
      </c>
      <c r="G457" t="s">
        <v>97</v>
      </c>
      <c r="H457" t="s">
        <v>98</v>
      </c>
      <c r="I457" t="s">
        <v>42</v>
      </c>
      <c r="J457" t="s">
        <v>797</v>
      </c>
      <c r="K457" t="s">
        <v>47</v>
      </c>
      <c r="L457" t="s">
        <v>48</v>
      </c>
      <c r="M457" t="s">
        <v>49</v>
      </c>
      <c r="N457" t="s">
        <v>36</v>
      </c>
      <c r="O457" s="3">
        <v>31.8</v>
      </c>
      <c r="P457">
        <v>11</v>
      </c>
      <c r="Q457" s="4">
        <v>0</v>
      </c>
      <c r="R457" s="3">
        <v>349.8</v>
      </c>
      <c r="S457" s="3">
        <v>14.39</v>
      </c>
      <c r="T457" s="3">
        <v>158.29000000000002</v>
      </c>
      <c r="U457" s="3">
        <v>191.51</v>
      </c>
      <c r="V457" s="5">
        <v>0.54748427672955968</v>
      </c>
      <c r="W457">
        <v>2</v>
      </c>
      <c r="X457" t="s">
        <v>37</v>
      </c>
      <c r="Y457" s="6">
        <v>4</v>
      </c>
    </row>
    <row r="458" spans="1:25">
      <c r="A458" t="s">
        <v>798</v>
      </c>
      <c r="B458" s="2">
        <v>45471</v>
      </c>
      <c r="C458">
        <v>2024</v>
      </c>
      <c r="D458" t="s">
        <v>229</v>
      </c>
      <c r="E458" t="s">
        <v>328</v>
      </c>
      <c r="F458" t="s">
        <v>39</v>
      </c>
      <c r="G458" t="s">
        <v>91</v>
      </c>
      <c r="H458" t="s">
        <v>92</v>
      </c>
      <c r="I458" t="s">
        <v>78</v>
      </c>
      <c r="J458" t="s">
        <v>799</v>
      </c>
      <c r="K458" t="s">
        <v>47</v>
      </c>
      <c r="L458" t="s">
        <v>48</v>
      </c>
      <c r="M458" t="s">
        <v>104</v>
      </c>
      <c r="N458" t="s">
        <v>57</v>
      </c>
      <c r="O458" s="3">
        <v>52.63</v>
      </c>
      <c r="P458">
        <v>4</v>
      </c>
      <c r="Q458" s="4">
        <v>0</v>
      </c>
      <c r="R458" s="3">
        <v>210.52</v>
      </c>
      <c r="S458" s="3">
        <v>30.36</v>
      </c>
      <c r="T458" s="3">
        <v>121.44</v>
      </c>
      <c r="U458" s="3">
        <v>89.080000000000013</v>
      </c>
      <c r="V458" s="5">
        <v>0.42314269428082846</v>
      </c>
      <c r="W458">
        <v>1</v>
      </c>
      <c r="X458" t="s">
        <v>58</v>
      </c>
      <c r="Y458" s="6">
        <v>4</v>
      </c>
    </row>
    <row r="459" spans="1:25">
      <c r="A459" t="s">
        <v>800</v>
      </c>
      <c r="B459" s="2">
        <v>45474</v>
      </c>
      <c r="C459">
        <v>2024</v>
      </c>
      <c r="D459" t="s">
        <v>369</v>
      </c>
      <c r="E459" t="s">
        <v>370</v>
      </c>
      <c r="F459" t="s">
        <v>39</v>
      </c>
      <c r="G459" t="s">
        <v>111</v>
      </c>
      <c r="H459" t="s">
        <v>112</v>
      </c>
      <c r="I459" t="s">
        <v>71</v>
      </c>
      <c r="J459" t="s">
        <v>227</v>
      </c>
      <c r="K459" t="s">
        <v>33</v>
      </c>
      <c r="L459" t="s">
        <v>34</v>
      </c>
      <c r="M459" t="s">
        <v>150</v>
      </c>
      <c r="N459" t="s">
        <v>44</v>
      </c>
      <c r="O459" s="3">
        <v>423.3</v>
      </c>
      <c r="P459">
        <v>4</v>
      </c>
      <c r="Q459" s="4">
        <v>0.1</v>
      </c>
      <c r="R459" s="3">
        <v>1523.88</v>
      </c>
      <c r="S459" s="3">
        <v>247.67</v>
      </c>
      <c r="T459" s="3">
        <v>990.68</v>
      </c>
      <c r="U459" s="3">
        <v>533.20000000000016</v>
      </c>
      <c r="V459" s="5">
        <v>0.34989631729532517</v>
      </c>
      <c r="W459">
        <v>1</v>
      </c>
      <c r="X459" t="s">
        <v>37</v>
      </c>
      <c r="Y459" s="6">
        <v>5</v>
      </c>
    </row>
    <row r="460" spans="1:25">
      <c r="A460" t="s">
        <v>801</v>
      </c>
      <c r="B460" s="2">
        <v>45474</v>
      </c>
      <c r="C460">
        <v>2024</v>
      </c>
      <c r="D460" t="s">
        <v>369</v>
      </c>
      <c r="E460" t="s">
        <v>370</v>
      </c>
      <c r="F460" t="s">
        <v>65</v>
      </c>
      <c r="G460" t="s">
        <v>76</v>
      </c>
      <c r="H460" t="s">
        <v>126</v>
      </c>
      <c r="I460" t="s">
        <v>31</v>
      </c>
      <c r="J460" t="s">
        <v>189</v>
      </c>
      <c r="K460" t="s">
        <v>61</v>
      </c>
      <c r="L460" t="s">
        <v>62</v>
      </c>
      <c r="M460" t="s">
        <v>195</v>
      </c>
      <c r="N460" t="s">
        <v>57</v>
      </c>
      <c r="O460" s="3">
        <v>73.05</v>
      </c>
      <c r="P460">
        <v>4</v>
      </c>
      <c r="Q460" s="4">
        <v>0</v>
      </c>
      <c r="R460" s="3">
        <v>292.2</v>
      </c>
      <c r="S460" s="3">
        <v>31.76</v>
      </c>
      <c r="T460" s="3">
        <v>127.04</v>
      </c>
      <c r="U460" s="3">
        <v>165.15999999999997</v>
      </c>
      <c r="V460" s="5">
        <v>0.56522929500342223</v>
      </c>
      <c r="W460">
        <v>7</v>
      </c>
      <c r="X460" t="s">
        <v>37</v>
      </c>
      <c r="Y460" s="6">
        <v>4</v>
      </c>
    </row>
    <row r="461" spans="1:25">
      <c r="A461" t="s">
        <v>802</v>
      </c>
      <c r="B461" s="2">
        <v>45475</v>
      </c>
      <c r="C461">
        <v>2024</v>
      </c>
      <c r="D461" t="s">
        <v>369</v>
      </c>
      <c r="E461" t="s">
        <v>370</v>
      </c>
      <c r="F461" t="s">
        <v>51</v>
      </c>
      <c r="G461" t="s">
        <v>97</v>
      </c>
      <c r="H461" t="s">
        <v>98</v>
      </c>
      <c r="I461" t="s">
        <v>71</v>
      </c>
      <c r="J461" t="s">
        <v>381</v>
      </c>
      <c r="K461" t="s">
        <v>33</v>
      </c>
      <c r="L461" t="s">
        <v>73</v>
      </c>
      <c r="M461" t="s">
        <v>74</v>
      </c>
      <c r="N461" t="s">
        <v>36</v>
      </c>
      <c r="O461" s="3">
        <v>696.62</v>
      </c>
      <c r="P461">
        <v>4</v>
      </c>
      <c r="Q461" s="4">
        <v>0</v>
      </c>
      <c r="R461" s="3">
        <v>2786.48</v>
      </c>
      <c r="S461" s="3">
        <v>423.99</v>
      </c>
      <c r="T461" s="3">
        <v>1695.96</v>
      </c>
      <c r="U461" s="3">
        <v>1090.52</v>
      </c>
      <c r="V461" s="5">
        <v>0.39136114380867615</v>
      </c>
      <c r="W461">
        <v>9</v>
      </c>
      <c r="X461" t="s">
        <v>37</v>
      </c>
      <c r="Y461" s="6">
        <v>3</v>
      </c>
    </row>
    <row r="462" spans="1:25">
      <c r="A462" t="s">
        <v>803</v>
      </c>
      <c r="B462" s="2">
        <v>45476</v>
      </c>
      <c r="C462">
        <v>2024</v>
      </c>
      <c r="D462" t="s">
        <v>369</v>
      </c>
      <c r="E462" t="s">
        <v>370</v>
      </c>
      <c r="F462" t="s">
        <v>39</v>
      </c>
      <c r="G462" t="s">
        <v>91</v>
      </c>
      <c r="H462" t="s">
        <v>92</v>
      </c>
      <c r="I462" t="s">
        <v>71</v>
      </c>
      <c r="J462" t="s">
        <v>804</v>
      </c>
      <c r="K462" t="s">
        <v>61</v>
      </c>
      <c r="L462" t="s">
        <v>62</v>
      </c>
      <c r="M462" t="s">
        <v>63</v>
      </c>
      <c r="N462" t="s">
        <v>44</v>
      </c>
      <c r="O462" s="3">
        <v>92.11</v>
      </c>
      <c r="P462">
        <v>1</v>
      </c>
      <c r="Q462" s="4">
        <v>0.05</v>
      </c>
      <c r="R462" s="3">
        <v>87.504499999999993</v>
      </c>
      <c r="S462" s="3">
        <v>43.34</v>
      </c>
      <c r="T462" s="3">
        <v>43.34</v>
      </c>
      <c r="U462" s="3">
        <v>44.16449999999999</v>
      </c>
      <c r="V462" s="5">
        <v>0.5047111862818483</v>
      </c>
      <c r="W462">
        <v>1</v>
      </c>
      <c r="X462" t="s">
        <v>37</v>
      </c>
      <c r="Y462" s="6">
        <v>5</v>
      </c>
    </row>
    <row r="463" spans="1:25">
      <c r="A463" t="s">
        <v>805</v>
      </c>
      <c r="B463" s="2">
        <v>45482</v>
      </c>
      <c r="C463">
        <v>2024</v>
      </c>
      <c r="D463" t="s">
        <v>369</v>
      </c>
      <c r="E463" t="s">
        <v>370</v>
      </c>
      <c r="F463" t="s">
        <v>39</v>
      </c>
      <c r="G463" t="s">
        <v>91</v>
      </c>
      <c r="H463" t="s">
        <v>92</v>
      </c>
      <c r="I463" t="s">
        <v>42</v>
      </c>
      <c r="J463" t="s">
        <v>543</v>
      </c>
      <c r="K463" t="s">
        <v>61</v>
      </c>
      <c r="L463" t="s">
        <v>62</v>
      </c>
      <c r="M463" t="s">
        <v>195</v>
      </c>
      <c r="N463" t="s">
        <v>36</v>
      </c>
      <c r="O463" s="3">
        <v>72.94</v>
      </c>
      <c r="P463">
        <v>3</v>
      </c>
      <c r="Q463" s="4">
        <v>0.05</v>
      </c>
      <c r="R463" s="3">
        <v>207.87899999999999</v>
      </c>
      <c r="S463" s="3">
        <v>31.28</v>
      </c>
      <c r="T463" s="3">
        <v>93.84</v>
      </c>
      <c r="U463" s="3">
        <v>114.03899999999999</v>
      </c>
      <c r="V463" s="5">
        <v>0.54858355100803824</v>
      </c>
      <c r="W463">
        <v>5</v>
      </c>
      <c r="X463" t="s">
        <v>37</v>
      </c>
      <c r="Y463" s="6">
        <v>4</v>
      </c>
    </row>
    <row r="464" spans="1:25">
      <c r="A464" t="s">
        <v>806</v>
      </c>
      <c r="B464" s="2">
        <v>45484</v>
      </c>
      <c r="C464">
        <v>2024</v>
      </c>
      <c r="D464" t="s">
        <v>369</v>
      </c>
      <c r="E464" t="s">
        <v>370</v>
      </c>
      <c r="F464" t="s">
        <v>39</v>
      </c>
      <c r="G464" t="s">
        <v>91</v>
      </c>
      <c r="H464" t="s">
        <v>92</v>
      </c>
      <c r="I464" t="s">
        <v>71</v>
      </c>
      <c r="J464" t="s">
        <v>807</v>
      </c>
      <c r="K464" t="s">
        <v>33</v>
      </c>
      <c r="L464" t="s">
        <v>88</v>
      </c>
      <c r="M464" t="s">
        <v>89</v>
      </c>
      <c r="N464" t="s">
        <v>44</v>
      </c>
      <c r="O464" s="3">
        <v>255.55</v>
      </c>
      <c r="P464">
        <v>3</v>
      </c>
      <c r="Q464" s="4">
        <v>0</v>
      </c>
      <c r="R464" s="3">
        <v>766.65000000000009</v>
      </c>
      <c r="S464" s="3">
        <v>130.16999999999999</v>
      </c>
      <c r="T464" s="3">
        <v>390.51</v>
      </c>
      <c r="U464" s="3">
        <v>376.1400000000001</v>
      </c>
      <c r="V464" s="5">
        <v>0.49062805713167684</v>
      </c>
      <c r="W464">
        <v>4</v>
      </c>
      <c r="X464" t="s">
        <v>37</v>
      </c>
      <c r="Y464" s="6">
        <v>5</v>
      </c>
    </row>
    <row r="465" spans="1:25">
      <c r="A465" t="s">
        <v>808</v>
      </c>
      <c r="B465" s="2">
        <v>45484</v>
      </c>
      <c r="C465">
        <v>2024</v>
      </c>
      <c r="D465" t="s">
        <v>369</v>
      </c>
      <c r="E465" t="s">
        <v>370</v>
      </c>
      <c r="F465" t="s">
        <v>51</v>
      </c>
      <c r="G465" t="s">
        <v>52</v>
      </c>
      <c r="H465" t="s">
        <v>102</v>
      </c>
      <c r="I465" t="s">
        <v>71</v>
      </c>
      <c r="J465" t="s">
        <v>258</v>
      </c>
      <c r="K465" t="s">
        <v>61</v>
      </c>
      <c r="L465" t="s">
        <v>62</v>
      </c>
      <c r="M465" t="s">
        <v>63</v>
      </c>
      <c r="N465" t="s">
        <v>57</v>
      </c>
      <c r="O465" s="3">
        <v>90.42</v>
      </c>
      <c r="P465">
        <v>1</v>
      </c>
      <c r="Q465" s="4">
        <v>0.05</v>
      </c>
      <c r="R465" s="3">
        <v>85.899000000000001</v>
      </c>
      <c r="S465" s="3">
        <v>44.57</v>
      </c>
      <c r="T465" s="3">
        <v>44.57</v>
      </c>
      <c r="U465" s="3">
        <v>41.329000000000001</v>
      </c>
      <c r="V465" s="5">
        <v>0.48113482112713768</v>
      </c>
      <c r="W465">
        <v>4</v>
      </c>
      <c r="X465" t="s">
        <v>37</v>
      </c>
      <c r="Y465" s="6">
        <v>4</v>
      </c>
    </row>
    <row r="466" spans="1:25">
      <c r="A466" t="s">
        <v>809</v>
      </c>
      <c r="B466" s="2">
        <v>45486</v>
      </c>
      <c r="C466">
        <v>2024</v>
      </c>
      <c r="D466" t="s">
        <v>369</v>
      </c>
      <c r="E466" t="s">
        <v>370</v>
      </c>
      <c r="F466" t="s">
        <v>65</v>
      </c>
      <c r="G466" t="s">
        <v>76</v>
      </c>
      <c r="H466" t="s">
        <v>77</v>
      </c>
      <c r="I466" t="s">
        <v>42</v>
      </c>
      <c r="J466" t="s">
        <v>231</v>
      </c>
      <c r="K466" t="s">
        <v>61</v>
      </c>
      <c r="L466" t="s">
        <v>80</v>
      </c>
      <c r="M466" t="s">
        <v>187</v>
      </c>
      <c r="N466" t="s">
        <v>36</v>
      </c>
      <c r="O466" s="3">
        <v>1362.07</v>
      </c>
      <c r="P466">
        <v>1</v>
      </c>
      <c r="Q466" s="4">
        <v>0</v>
      </c>
      <c r="R466" s="3">
        <v>1362.07</v>
      </c>
      <c r="S466" s="3">
        <v>825.29</v>
      </c>
      <c r="T466" s="3">
        <v>825.29</v>
      </c>
      <c r="U466" s="3">
        <v>536.78</v>
      </c>
      <c r="V466" s="5">
        <v>0.39409134625973702</v>
      </c>
      <c r="W466">
        <v>5</v>
      </c>
      <c r="X466" t="s">
        <v>37</v>
      </c>
      <c r="Y466" s="6">
        <v>4</v>
      </c>
    </row>
    <row r="467" spans="1:25">
      <c r="A467" t="s">
        <v>810</v>
      </c>
      <c r="B467" s="2">
        <v>45486</v>
      </c>
      <c r="C467">
        <v>2024</v>
      </c>
      <c r="D467" t="s">
        <v>369</v>
      </c>
      <c r="E467" t="s">
        <v>370</v>
      </c>
      <c r="F467" t="s">
        <v>28</v>
      </c>
      <c r="G467" t="s">
        <v>29</v>
      </c>
      <c r="H467" t="s">
        <v>60</v>
      </c>
      <c r="I467" t="s">
        <v>71</v>
      </c>
      <c r="J467" t="s">
        <v>146</v>
      </c>
      <c r="K467" t="s">
        <v>33</v>
      </c>
      <c r="L467" t="s">
        <v>73</v>
      </c>
      <c r="M467" t="s">
        <v>74</v>
      </c>
      <c r="N467" t="s">
        <v>57</v>
      </c>
      <c r="O467" s="3">
        <v>727.16</v>
      </c>
      <c r="P467">
        <v>5</v>
      </c>
      <c r="Q467" s="4">
        <v>0</v>
      </c>
      <c r="R467" s="3">
        <v>3635.7999999999997</v>
      </c>
      <c r="S467" s="3">
        <v>428.3</v>
      </c>
      <c r="T467" s="3">
        <v>2141.5</v>
      </c>
      <c r="U467" s="3">
        <v>1494.2999999999997</v>
      </c>
      <c r="V467" s="5">
        <v>0.41099620441168377</v>
      </c>
      <c r="W467">
        <v>3</v>
      </c>
      <c r="X467" t="s">
        <v>58</v>
      </c>
      <c r="Y467" s="6">
        <v>4</v>
      </c>
    </row>
    <row r="468" spans="1:25">
      <c r="A468" t="s">
        <v>811</v>
      </c>
      <c r="B468" s="2">
        <v>45487</v>
      </c>
      <c r="C468">
        <v>2024</v>
      </c>
      <c r="D468" t="s">
        <v>369</v>
      </c>
      <c r="E468" t="s">
        <v>370</v>
      </c>
      <c r="F468" t="s">
        <v>39</v>
      </c>
      <c r="G468" t="s">
        <v>91</v>
      </c>
      <c r="H468" t="s">
        <v>92</v>
      </c>
      <c r="I468" t="s">
        <v>42</v>
      </c>
      <c r="J468" t="s">
        <v>812</v>
      </c>
      <c r="K468" t="s">
        <v>33</v>
      </c>
      <c r="L468" t="s">
        <v>34</v>
      </c>
      <c r="M468" t="s">
        <v>35</v>
      </c>
      <c r="N468" t="s">
        <v>36</v>
      </c>
      <c r="O468" s="3">
        <v>174.69</v>
      </c>
      <c r="P468">
        <v>4</v>
      </c>
      <c r="Q468" s="4">
        <v>0.2</v>
      </c>
      <c r="R468" s="3">
        <v>559.00800000000004</v>
      </c>
      <c r="S468" s="3">
        <v>94.46</v>
      </c>
      <c r="T468" s="3">
        <v>377.84</v>
      </c>
      <c r="U468" s="3">
        <v>181.16800000000006</v>
      </c>
      <c r="V468" s="5">
        <v>0.32408838513938987</v>
      </c>
      <c r="W468">
        <v>6</v>
      </c>
      <c r="X468" t="s">
        <v>37</v>
      </c>
      <c r="Y468" s="6">
        <v>4</v>
      </c>
    </row>
    <row r="469" spans="1:25">
      <c r="A469" t="s">
        <v>813</v>
      </c>
      <c r="B469" s="2">
        <v>45491</v>
      </c>
      <c r="C469">
        <v>2024</v>
      </c>
      <c r="D469" t="s">
        <v>369</v>
      </c>
      <c r="E469" t="s">
        <v>370</v>
      </c>
      <c r="F469" t="s">
        <v>39</v>
      </c>
      <c r="G469" t="s">
        <v>40</v>
      </c>
      <c r="H469" t="s">
        <v>41</v>
      </c>
      <c r="I469" t="s">
        <v>42</v>
      </c>
      <c r="J469" t="s">
        <v>814</v>
      </c>
      <c r="K469" t="s">
        <v>61</v>
      </c>
      <c r="L469" t="s">
        <v>80</v>
      </c>
      <c r="M469" t="s">
        <v>81</v>
      </c>
      <c r="N469" t="s">
        <v>36</v>
      </c>
      <c r="O469" s="3">
        <v>985.29</v>
      </c>
      <c r="P469">
        <v>4</v>
      </c>
      <c r="Q469" s="4">
        <v>0.05</v>
      </c>
      <c r="R469" s="3">
        <v>3744.1019999999999</v>
      </c>
      <c r="S469" s="3">
        <v>666.06</v>
      </c>
      <c r="T469" s="3">
        <v>2664.24</v>
      </c>
      <c r="U469" s="3">
        <v>1079.8620000000001</v>
      </c>
      <c r="V469" s="5">
        <v>0.28841682197760643</v>
      </c>
      <c r="W469">
        <v>7</v>
      </c>
      <c r="X469" t="s">
        <v>37</v>
      </c>
      <c r="Y469" s="6">
        <v>4</v>
      </c>
    </row>
    <row r="470" spans="1:25">
      <c r="A470" t="s">
        <v>815</v>
      </c>
      <c r="B470" s="2">
        <v>45492</v>
      </c>
      <c r="C470">
        <v>2024</v>
      </c>
      <c r="D470" t="s">
        <v>369</v>
      </c>
      <c r="E470" t="s">
        <v>370</v>
      </c>
      <c r="F470" t="s">
        <v>39</v>
      </c>
      <c r="G470" t="s">
        <v>40</v>
      </c>
      <c r="H470" t="s">
        <v>41</v>
      </c>
      <c r="I470" t="s">
        <v>71</v>
      </c>
      <c r="J470" t="s">
        <v>450</v>
      </c>
      <c r="K470" t="s">
        <v>33</v>
      </c>
      <c r="L470" t="s">
        <v>34</v>
      </c>
      <c r="M470" t="s">
        <v>150</v>
      </c>
      <c r="N470" t="s">
        <v>57</v>
      </c>
      <c r="O470" s="3">
        <v>420.47</v>
      </c>
      <c r="P470">
        <v>3</v>
      </c>
      <c r="Q470" s="4">
        <v>0.2</v>
      </c>
      <c r="R470" s="3">
        <v>1009.1280000000002</v>
      </c>
      <c r="S470" s="3">
        <v>254.55</v>
      </c>
      <c r="T470" s="3">
        <v>763.65000000000009</v>
      </c>
      <c r="U470" s="3">
        <v>245.47800000000007</v>
      </c>
      <c r="V470" s="5">
        <v>0.24325754512807099</v>
      </c>
      <c r="W470">
        <v>3</v>
      </c>
      <c r="X470" t="s">
        <v>37</v>
      </c>
      <c r="Y470" s="6">
        <v>5</v>
      </c>
    </row>
    <row r="471" spans="1:25">
      <c r="A471" t="s">
        <v>816</v>
      </c>
      <c r="B471" s="2">
        <v>45492</v>
      </c>
      <c r="C471">
        <v>2024</v>
      </c>
      <c r="D471" t="s">
        <v>369</v>
      </c>
      <c r="E471" t="s">
        <v>370</v>
      </c>
      <c r="F471" t="s">
        <v>51</v>
      </c>
      <c r="G471" t="s">
        <v>52</v>
      </c>
      <c r="H471" t="s">
        <v>102</v>
      </c>
      <c r="I471" t="s">
        <v>42</v>
      </c>
      <c r="J471" t="s">
        <v>817</v>
      </c>
      <c r="K471" t="s">
        <v>33</v>
      </c>
      <c r="L471" t="s">
        <v>88</v>
      </c>
      <c r="M471" t="s">
        <v>89</v>
      </c>
      <c r="N471" t="s">
        <v>36</v>
      </c>
      <c r="O471" s="3">
        <v>237.56</v>
      </c>
      <c r="P471">
        <v>3</v>
      </c>
      <c r="Q471" s="4">
        <v>0.15</v>
      </c>
      <c r="R471" s="3">
        <v>605.77800000000002</v>
      </c>
      <c r="S471" s="3">
        <v>131.38</v>
      </c>
      <c r="T471" s="3">
        <v>394.14</v>
      </c>
      <c r="U471" s="3">
        <v>211.63800000000003</v>
      </c>
      <c r="V471" s="5">
        <v>0.34936560918356235</v>
      </c>
      <c r="W471">
        <v>3</v>
      </c>
      <c r="X471" t="s">
        <v>37</v>
      </c>
      <c r="Y471" s="6">
        <v>4</v>
      </c>
    </row>
    <row r="472" spans="1:25">
      <c r="A472" t="s">
        <v>818</v>
      </c>
      <c r="B472" s="2">
        <v>45492</v>
      </c>
      <c r="C472">
        <v>2024</v>
      </c>
      <c r="D472" t="s">
        <v>369</v>
      </c>
      <c r="E472" t="s">
        <v>370</v>
      </c>
      <c r="F472" t="s">
        <v>65</v>
      </c>
      <c r="G472" t="s">
        <v>76</v>
      </c>
      <c r="H472" t="s">
        <v>126</v>
      </c>
      <c r="I472" t="s">
        <v>71</v>
      </c>
      <c r="J472" t="s">
        <v>583</v>
      </c>
      <c r="K472" t="s">
        <v>47</v>
      </c>
      <c r="L472" t="s">
        <v>55</v>
      </c>
      <c r="M472" t="s">
        <v>69</v>
      </c>
      <c r="N472" t="s">
        <v>57</v>
      </c>
      <c r="O472" s="3">
        <v>44.44</v>
      </c>
      <c r="P472">
        <v>9</v>
      </c>
      <c r="Q472" s="4">
        <v>0</v>
      </c>
      <c r="R472" s="3">
        <v>399.96</v>
      </c>
      <c r="S472" s="3">
        <v>22.02</v>
      </c>
      <c r="T472" s="3">
        <v>198.18</v>
      </c>
      <c r="U472" s="3">
        <v>201.77999999999997</v>
      </c>
      <c r="V472" s="5">
        <v>0.50450045004500443</v>
      </c>
      <c r="W472">
        <v>6</v>
      </c>
      <c r="X472" t="s">
        <v>37</v>
      </c>
      <c r="Y472" s="6">
        <v>4</v>
      </c>
    </row>
    <row r="473" spans="1:25">
      <c r="A473" t="s">
        <v>819</v>
      </c>
      <c r="B473" s="2">
        <v>45493</v>
      </c>
      <c r="C473">
        <v>2024</v>
      </c>
      <c r="D473" t="s">
        <v>369</v>
      </c>
      <c r="E473" t="s">
        <v>370</v>
      </c>
      <c r="F473" t="s">
        <v>65</v>
      </c>
      <c r="G473" t="s">
        <v>66</v>
      </c>
      <c r="H473" t="s">
        <v>67</v>
      </c>
      <c r="I473" t="s">
        <v>42</v>
      </c>
      <c r="J473" t="s">
        <v>820</v>
      </c>
      <c r="K473" t="s">
        <v>33</v>
      </c>
      <c r="L473" t="s">
        <v>88</v>
      </c>
      <c r="M473" t="s">
        <v>89</v>
      </c>
      <c r="N473" t="s">
        <v>36</v>
      </c>
      <c r="O473" s="3">
        <v>242.51</v>
      </c>
      <c r="P473">
        <v>4</v>
      </c>
      <c r="Q473" s="4">
        <v>0.1</v>
      </c>
      <c r="R473" s="3">
        <v>873.03599999999994</v>
      </c>
      <c r="S473" s="3">
        <v>133.37</v>
      </c>
      <c r="T473" s="3">
        <v>533.48</v>
      </c>
      <c r="U473" s="3">
        <v>339.55599999999993</v>
      </c>
      <c r="V473" s="5">
        <v>0.38893699687069028</v>
      </c>
      <c r="W473">
        <v>1</v>
      </c>
      <c r="X473" t="s">
        <v>37</v>
      </c>
      <c r="Y473" s="6">
        <v>5</v>
      </c>
    </row>
    <row r="474" spans="1:25">
      <c r="A474" t="s">
        <v>821</v>
      </c>
      <c r="B474" s="2">
        <v>45494</v>
      </c>
      <c r="C474">
        <v>2024</v>
      </c>
      <c r="D474" t="s">
        <v>369</v>
      </c>
      <c r="E474" t="s">
        <v>370</v>
      </c>
      <c r="F474" t="s">
        <v>65</v>
      </c>
      <c r="G474" t="s">
        <v>66</v>
      </c>
      <c r="H474" t="s">
        <v>67</v>
      </c>
      <c r="I474" t="s">
        <v>78</v>
      </c>
      <c r="J474" t="s">
        <v>205</v>
      </c>
      <c r="K474" t="s">
        <v>33</v>
      </c>
      <c r="L474" t="s">
        <v>88</v>
      </c>
      <c r="M474" t="s">
        <v>89</v>
      </c>
      <c r="N474" t="s">
        <v>36</v>
      </c>
      <c r="O474" s="3">
        <v>252.56</v>
      </c>
      <c r="P474">
        <v>3</v>
      </c>
      <c r="Q474" s="4">
        <v>0</v>
      </c>
      <c r="R474" s="3">
        <v>757.68000000000006</v>
      </c>
      <c r="S474" s="3">
        <v>126.91</v>
      </c>
      <c r="T474" s="3">
        <v>380.73</v>
      </c>
      <c r="U474" s="3">
        <v>376.95000000000005</v>
      </c>
      <c r="V474" s="5">
        <v>0.49750554323725055</v>
      </c>
      <c r="W474">
        <v>3</v>
      </c>
      <c r="X474" t="s">
        <v>37</v>
      </c>
      <c r="Y474" s="6">
        <v>5</v>
      </c>
    </row>
    <row r="475" spans="1:25">
      <c r="A475" t="s">
        <v>822</v>
      </c>
      <c r="B475" s="2">
        <v>45498</v>
      </c>
      <c r="C475">
        <v>2024</v>
      </c>
      <c r="D475" t="s">
        <v>369</v>
      </c>
      <c r="E475" t="s">
        <v>370</v>
      </c>
      <c r="F475" t="s">
        <v>28</v>
      </c>
      <c r="G475" t="s">
        <v>29</v>
      </c>
      <c r="H475" t="s">
        <v>60</v>
      </c>
      <c r="I475" t="s">
        <v>71</v>
      </c>
      <c r="J475" t="s">
        <v>399</v>
      </c>
      <c r="K475" t="s">
        <v>61</v>
      </c>
      <c r="L475" t="s">
        <v>84</v>
      </c>
      <c r="M475" t="s">
        <v>135</v>
      </c>
      <c r="N475" t="s">
        <v>44</v>
      </c>
      <c r="O475" s="3">
        <v>896.3</v>
      </c>
      <c r="P475">
        <v>4</v>
      </c>
      <c r="Q475" s="4">
        <v>0</v>
      </c>
      <c r="R475" s="3">
        <v>3585.2</v>
      </c>
      <c r="S475" s="3">
        <v>558.58000000000004</v>
      </c>
      <c r="T475" s="3">
        <v>2234.3200000000002</v>
      </c>
      <c r="U475" s="3">
        <v>1350.8799999999997</v>
      </c>
      <c r="V475" s="5">
        <v>0.37679348432444487</v>
      </c>
      <c r="W475">
        <v>5</v>
      </c>
      <c r="X475" t="s">
        <v>37</v>
      </c>
      <c r="Y475" s="6">
        <v>4</v>
      </c>
    </row>
    <row r="476" spans="1:25">
      <c r="A476" t="s">
        <v>823</v>
      </c>
      <c r="B476" s="2">
        <v>45499</v>
      </c>
      <c r="C476">
        <v>2024</v>
      </c>
      <c r="D476" t="s">
        <v>369</v>
      </c>
      <c r="E476" t="s">
        <v>370</v>
      </c>
      <c r="F476" t="s">
        <v>28</v>
      </c>
      <c r="G476" t="s">
        <v>29</v>
      </c>
      <c r="H476" t="s">
        <v>30</v>
      </c>
      <c r="I476" t="s">
        <v>78</v>
      </c>
      <c r="J476" t="s">
        <v>402</v>
      </c>
      <c r="K476" t="s">
        <v>33</v>
      </c>
      <c r="L476" t="s">
        <v>34</v>
      </c>
      <c r="M476" t="s">
        <v>35</v>
      </c>
      <c r="N476" t="s">
        <v>44</v>
      </c>
      <c r="O476" s="3">
        <v>181.21</v>
      </c>
      <c r="P476">
        <v>4</v>
      </c>
      <c r="Q476" s="4">
        <v>0</v>
      </c>
      <c r="R476" s="3">
        <v>724.84</v>
      </c>
      <c r="S476" s="3">
        <v>89.78</v>
      </c>
      <c r="T476" s="3">
        <v>359.12</v>
      </c>
      <c r="U476" s="3">
        <v>365.72</v>
      </c>
      <c r="V476" s="5">
        <v>0.50455272887809721</v>
      </c>
      <c r="W476">
        <v>3</v>
      </c>
      <c r="X476" t="s">
        <v>58</v>
      </c>
      <c r="Y476" s="6">
        <v>3</v>
      </c>
    </row>
    <row r="477" spans="1:25">
      <c r="A477" t="s">
        <v>824</v>
      </c>
      <c r="B477" s="2">
        <v>45499</v>
      </c>
      <c r="C477">
        <v>2024</v>
      </c>
      <c r="D477" t="s">
        <v>369</v>
      </c>
      <c r="E477" t="s">
        <v>370</v>
      </c>
      <c r="F477" t="s">
        <v>65</v>
      </c>
      <c r="G477" t="s">
        <v>66</v>
      </c>
      <c r="H477" t="s">
        <v>67</v>
      </c>
      <c r="I477" t="s">
        <v>71</v>
      </c>
      <c r="J477" t="s">
        <v>825</v>
      </c>
      <c r="K477" t="s">
        <v>61</v>
      </c>
      <c r="L477" t="s">
        <v>80</v>
      </c>
      <c r="M477" t="s">
        <v>187</v>
      </c>
      <c r="N477" t="s">
        <v>57</v>
      </c>
      <c r="O477" s="3">
        <v>1275.25</v>
      </c>
      <c r="P477">
        <v>3</v>
      </c>
      <c r="Q477" s="4">
        <v>0.2</v>
      </c>
      <c r="R477" s="3">
        <v>3060.6000000000004</v>
      </c>
      <c r="S477" s="3">
        <v>850.1</v>
      </c>
      <c r="T477" s="3">
        <v>2550.3000000000002</v>
      </c>
      <c r="U477" s="3">
        <v>510.30000000000018</v>
      </c>
      <c r="V477" s="5">
        <v>0.16673201333071952</v>
      </c>
      <c r="W477">
        <v>7</v>
      </c>
      <c r="X477" t="s">
        <v>37</v>
      </c>
      <c r="Y477" s="6">
        <v>4</v>
      </c>
    </row>
    <row r="478" spans="1:25">
      <c r="A478" t="s">
        <v>826</v>
      </c>
      <c r="B478" s="2">
        <v>45501</v>
      </c>
      <c r="C478">
        <v>2024</v>
      </c>
      <c r="D478" t="s">
        <v>369</v>
      </c>
      <c r="E478" t="s">
        <v>370</v>
      </c>
      <c r="F478" t="s">
        <v>28</v>
      </c>
      <c r="G478" t="s">
        <v>29</v>
      </c>
      <c r="H478" t="s">
        <v>106</v>
      </c>
      <c r="I478" t="s">
        <v>78</v>
      </c>
      <c r="J478" t="s">
        <v>288</v>
      </c>
      <c r="K478" t="s">
        <v>47</v>
      </c>
      <c r="L478" t="s">
        <v>114</v>
      </c>
      <c r="M478" t="s">
        <v>120</v>
      </c>
      <c r="N478" t="s">
        <v>44</v>
      </c>
      <c r="O478" s="3">
        <v>24.76</v>
      </c>
      <c r="P478">
        <v>1</v>
      </c>
      <c r="Q478" s="4">
        <v>0.15</v>
      </c>
      <c r="R478" s="3">
        <v>21.045999999999999</v>
      </c>
      <c r="S478" s="3">
        <v>11.06</v>
      </c>
      <c r="T478" s="3">
        <v>11.06</v>
      </c>
      <c r="U478" s="3">
        <v>9.9859999999999989</v>
      </c>
      <c r="V478" s="5">
        <v>0.47448446260572075</v>
      </c>
      <c r="W478">
        <v>6</v>
      </c>
      <c r="X478" t="s">
        <v>37</v>
      </c>
      <c r="Y478" s="6">
        <v>4</v>
      </c>
    </row>
    <row r="479" spans="1:25">
      <c r="A479" t="s">
        <v>827</v>
      </c>
      <c r="B479" s="2">
        <v>45501</v>
      </c>
      <c r="C479">
        <v>2024</v>
      </c>
      <c r="D479" t="s">
        <v>369</v>
      </c>
      <c r="E479" t="s">
        <v>370</v>
      </c>
      <c r="F479" t="s">
        <v>39</v>
      </c>
      <c r="G479" t="s">
        <v>40</v>
      </c>
      <c r="H479" t="s">
        <v>41</v>
      </c>
      <c r="I479" t="s">
        <v>78</v>
      </c>
      <c r="J479" t="s">
        <v>814</v>
      </c>
      <c r="K479" t="s">
        <v>47</v>
      </c>
      <c r="L479" t="s">
        <v>55</v>
      </c>
      <c r="M479" t="s">
        <v>69</v>
      </c>
      <c r="N479" t="s">
        <v>36</v>
      </c>
      <c r="O479" s="3">
        <v>46.16</v>
      </c>
      <c r="P479">
        <v>6</v>
      </c>
      <c r="Q479" s="4">
        <v>0</v>
      </c>
      <c r="R479" s="3">
        <v>276.95999999999998</v>
      </c>
      <c r="S479" s="3">
        <v>22.2</v>
      </c>
      <c r="T479" s="3">
        <v>133.19999999999999</v>
      </c>
      <c r="U479" s="3">
        <v>143.76</v>
      </c>
      <c r="V479" s="5">
        <v>0.51906412478336217</v>
      </c>
      <c r="W479">
        <v>7</v>
      </c>
      <c r="X479" t="s">
        <v>37</v>
      </c>
      <c r="Y479" s="6">
        <v>4</v>
      </c>
    </row>
    <row r="480" spans="1:25">
      <c r="A480" t="s">
        <v>828</v>
      </c>
      <c r="B480" s="2">
        <v>45502</v>
      </c>
      <c r="C480">
        <v>2024</v>
      </c>
      <c r="D480" t="s">
        <v>369</v>
      </c>
      <c r="E480" t="s">
        <v>370</v>
      </c>
      <c r="F480" t="s">
        <v>65</v>
      </c>
      <c r="G480" t="s">
        <v>66</v>
      </c>
      <c r="H480" t="s">
        <v>67</v>
      </c>
      <c r="I480" t="s">
        <v>71</v>
      </c>
      <c r="J480" t="s">
        <v>829</v>
      </c>
      <c r="K480" t="s">
        <v>33</v>
      </c>
      <c r="L480" t="s">
        <v>73</v>
      </c>
      <c r="M480" t="s">
        <v>74</v>
      </c>
      <c r="N480" t="s">
        <v>44</v>
      </c>
      <c r="O480" s="3">
        <v>716.86</v>
      </c>
      <c r="P480">
        <v>5</v>
      </c>
      <c r="Q480" s="4">
        <v>0</v>
      </c>
      <c r="R480" s="3">
        <v>3584.3</v>
      </c>
      <c r="S480" s="3">
        <v>430.29</v>
      </c>
      <c r="T480" s="3">
        <v>2151.4500000000003</v>
      </c>
      <c r="U480" s="3">
        <v>1432.85</v>
      </c>
      <c r="V480" s="5">
        <v>0.39975727478168677</v>
      </c>
      <c r="W480">
        <v>3</v>
      </c>
      <c r="X480" t="s">
        <v>37</v>
      </c>
      <c r="Y480" s="6">
        <v>5</v>
      </c>
    </row>
    <row r="481" spans="1:25">
      <c r="A481" t="s">
        <v>830</v>
      </c>
      <c r="B481" s="2">
        <v>45503</v>
      </c>
      <c r="C481">
        <v>2024</v>
      </c>
      <c r="D481" t="s">
        <v>369</v>
      </c>
      <c r="E481" t="s">
        <v>370</v>
      </c>
      <c r="F481" t="s">
        <v>39</v>
      </c>
      <c r="G481" t="s">
        <v>111</v>
      </c>
      <c r="H481" t="s">
        <v>112</v>
      </c>
      <c r="I481" t="s">
        <v>71</v>
      </c>
      <c r="J481" t="s">
        <v>831</v>
      </c>
      <c r="K481" t="s">
        <v>47</v>
      </c>
      <c r="L481" t="s">
        <v>48</v>
      </c>
      <c r="M481" t="s">
        <v>104</v>
      </c>
      <c r="N481" t="s">
        <v>36</v>
      </c>
      <c r="O481" s="3">
        <v>51.97</v>
      </c>
      <c r="P481">
        <v>9</v>
      </c>
      <c r="Q481" s="4">
        <v>0</v>
      </c>
      <c r="R481" s="3">
        <v>467.73</v>
      </c>
      <c r="S481" s="3">
        <v>30.1</v>
      </c>
      <c r="T481" s="3">
        <v>270.90000000000003</v>
      </c>
      <c r="U481" s="3">
        <v>196.82999999999998</v>
      </c>
      <c r="V481" s="5">
        <v>0.42081970367519717</v>
      </c>
      <c r="W481">
        <v>7</v>
      </c>
      <c r="X481" t="s">
        <v>37</v>
      </c>
      <c r="Y481" s="6">
        <v>4</v>
      </c>
    </row>
    <row r="482" spans="1:25">
      <c r="A482" t="s">
        <v>832</v>
      </c>
      <c r="B482" s="2">
        <v>45505</v>
      </c>
      <c r="C482">
        <v>2024</v>
      </c>
      <c r="D482" t="s">
        <v>369</v>
      </c>
      <c r="E482" t="s">
        <v>409</v>
      </c>
      <c r="F482" t="s">
        <v>28</v>
      </c>
      <c r="G482" t="s">
        <v>29</v>
      </c>
      <c r="H482" t="s">
        <v>106</v>
      </c>
      <c r="I482" t="s">
        <v>71</v>
      </c>
      <c r="J482" t="s">
        <v>223</v>
      </c>
      <c r="K482" t="s">
        <v>47</v>
      </c>
      <c r="L482" t="s">
        <v>48</v>
      </c>
      <c r="M482" t="s">
        <v>104</v>
      </c>
      <c r="N482" t="s">
        <v>57</v>
      </c>
      <c r="O482" s="3">
        <v>53.56</v>
      </c>
      <c r="P482">
        <v>8</v>
      </c>
      <c r="Q482" s="4">
        <v>0.1</v>
      </c>
      <c r="R482" s="3">
        <v>385.63200000000001</v>
      </c>
      <c r="S482" s="3">
        <v>30.55</v>
      </c>
      <c r="T482" s="3">
        <v>244.4</v>
      </c>
      <c r="U482" s="3">
        <v>141.232</v>
      </c>
      <c r="V482" s="5">
        <v>0.36623516720604099</v>
      </c>
      <c r="W482">
        <v>7</v>
      </c>
      <c r="X482" t="s">
        <v>37</v>
      </c>
      <c r="Y482" s="6">
        <v>4</v>
      </c>
    </row>
    <row r="483" spans="1:25">
      <c r="A483" t="s">
        <v>833</v>
      </c>
      <c r="B483" s="2">
        <v>45506</v>
      </c>
      <c r="C483">
        <v>2024</v>
      </c>
      <c r="D483" t="s">
        <v>369</v>
      </c>
      <c r="E483" t="s">
        <v>409</v>
      </c>
      <c r="F483" t="s">
        <v>65</v>
      </c>
      <c r="G483" t="s">
        <v>76</v>
      </c>
      <c r="H483" t="s">
        <v>126</v>
      </c>
      <c r="I483" t="s">
        <v>42</v>
      </c>
      <c r="J483" t="s">
        <v>181</v>
      </c>
      <c r="K483" t="s">
        <v>33</v>
      </c>
      <c r="L483" t="s">
        <v>88</v>
      </c>
      <c r="M483" t="s">
        <v>89</v>
      </c>
      <c r="N483" t="s">
        <v>44</v>
      </c>
      <c r="O483" s="3">
        <v>250.3</v>
      </c>
      <c r="P483">
        <v>5</v>
      </c>
      <c r="Q483" s="4">
        <v>0</v>
      </c>
      <c r="R483" s="3">
        <v>1251.5</v>
      </c>
      <c r="S483" s="3">
        <v>133.11000000000001</v>
      </c>
      <c r="T483" s="3">
        <v>665.55000000000007</v>
      </c>
      <c r="U483" s="3">
        <v>585.94999999999993</v>
      </c>
      <c r="V483" s="5">
        <v>0.46819816220535354</v>
      </c>
      <c r="W483">
        <v>4</v>
      </c>
      <c r="X483" t="s">
        <v>37</v>
      </c>
      <c r="Y483" s="6">
        <v>5</v>
      </c>
    </row>
    <row r="484" spans="1:25">
      <c r="A484" t="s">
        <v>834</v>
      </c>
      <c r="B484" s="2">
        <v>45507</v>
      </c>
      <c r="C484">
        <v>2024</v>
      </c>
      <c r="D484" t="s">
        <v>369</v>
      </c>
      <c r="E484" t="s">
        <v>409</v>
      </c>
      <c r="F484" t="s">
        <v>51</v>
      </c>
      <c r="G484" t="s">
        <v>97</v>
      </c>
      <c r="H484" t="s">
        <v>98</v>
      </c>
      <c r="I484" t="s">
        <v>31</v>
      </c>
      <c r="J484" t="s">
        <v>621</v>
      </c>
      <c r="K484" t="s">
        <v>33</v>
      </c>
      <c r="L484" t="s">
        <v>88</v>
      </c>
      <c r="M484" t="s">
        <v>100</v>
      </c>
      <c r="N484" t="s">
        <v>57</v>
      </c>
      <c r="O484" s="3">
        <v>285.58999999999997</v>
      </c>
      <c r="P484">
        <v>2</v>
      </c>
      <c r="Q484" s="4">
        <v>0</v>
      </c>
      <c r="R484" s="3">
        <v>571.17999999999995</v>
      </c>
      <c r="S484" s="3">
        <v>157.69</v>
      </c>
      <c r="T484" s="3">
        <v>315.38</v>
      </c>
      <c r="U484" s="3">
        <v>255.79999999999995</v>
      </c>
      <c r="V484" s="5">
        <v>0.44784481249343461</v>
      </c>
      <c r="W484">
        <v>4</v>
      </c>
      <c r="X484" t="s">
        <v>37</v>
      </c>
      <c r="Y484" s="6">
        <v>4</v>
      </c>
    </row>
    <row r="485" spans="1:25">
      <c r="A485" t="s">
        <v>835</v>
      </c>
      <c r="B485" s="2">
        <v>45508</v>
      </c>
      <c r="C485">
        <v>2024</v>
      </c>
      <c r="D485" t="s">
        <v>369</v>
      </c>
      <c r="E485" t="s">
        <v>409</v>
      </c>
      <c r="F485" t="s">
        <v>65</v>
      </c>
      <c r="G485" t="s">
        <v>76</v>
      </c>
      <c r="H485" t="s">
        <v>77</v>
      </c>
      <c r="I485" t="s">
        <v>31</v>
      </c>
      <c r="J485" t="s">
        <v>836</v>
      </c>
      <c r="K485" t="s">
        <v>61</v>
      </c>
      <c r="L485" t="s">
        <v>80</v>
      </c>
      <c r="M485" t="s">
        <v>81</v>
      </c>
      <c r="N485" t="s">
        <v>44</v>
      </c>
      <c r="O485" s="3">
        <v>1015.9</v>
      </c>
      <c r="P485">
        <v>1</v>
      </c>
      <c r="Q485" s="4">
        <v>0</v>
      </c>
      <c r="R485" s="3">
        <v>1015.9</v>
      </c>
      <c r="S485" s="3">
        <v>664.68</v>
      </c>
      <c r="T485" s="3">
        <v>664.68</v>
      </c>
      <c r="U485" s="3">
        <v>351.22</v>
      </c>
      <c r="V485" s="5">
        <v>0.34572300423270008</v>
      </c>
      <c r="W485">
        <v>6</v>
      </c>
      <c r="X485" t="s">
        <v>37</v>
      </c>
      <c r="Y485" s="6">
        <v>5</v>
      </c>
    </row>
    <row r="486" spans="1:25">
      <c r="A486" t="s">
        <v>837</v>
      </c>
      <c r="B486" s="2">
        <v>45508</v>
      </c>
      <c r="C486">
        <v>2024</v>
      </c>
      <c r="D486" t="s">
        <v>369</v>
      </c>
      <c r="E486" t="s">
        <v>409</v>
      </c>
      <c r="F486" t="s">
        <v>28</v>
      </c>
      <c r="G486" t="s">
        <v>29</v>
      </c>
      <c r="H486" t="s">
        <v>30</v>
      </c>
      <c r="I486" t="s">
        <v>31</v>
      </c>
      <c r="J486" t="s">
        <v>450</v>
      </c>
      <c r="K486" t="s">
        <v>47</v>
      </c>
      <c r="L486" t="s">
        <v>48</v>
      </c>
      <c r="M486" t="s">
        <v>104</v>
      </c>
      <c r="N486" t="s">
        <v>44</v>
      </c>
      <c r="O486" s="3">
        <v>53.7</v>
      </c>
      <c r="P486">
        <v>4</v>
      </c>
      <c r="Q486" s="4">
        <v>0</v>
      </c>
      <c r="R486" s="3">
        <v>214.8</v>
      </c>
      <c r="S486" s="3">
        <v>30.42</v>
      </c>
      <c r="T486" s="3">
        <v>121.68</v>
      </c>
      <c r="U486" s="3">
        <v>93.12</v>
      </c>
      <c r="V486" s="5">
        <v>0.43351955307262569</v>
      </c>
      <c r="W486">
        <v>6</v>
      </c>
      <c r="X486" t="s">
        <v>37</v>
      </c>
      <c r="Y486" s="6">
        <v>4</v>
      </c>
    </row>
    <row r="487" spans="1:25">
      <c r="A487" t="s">
        <v>838</v>
      </c>
      <c r="B487" s="2">
        <v>45508</v>
      </c>
      <c r="C487">
        <v>2024</v>
      </c>
      <c r="D487" t="s">
        <v>369</v>
      </c>
      <c r="E487" t="s">
        <v>409</v>
      </c>
      <c r="F487" t="s">
        <v>28</v>
      </c>
      <c r="G487" t="s">
        <v>29</v>
      </c>
      <c r="H487" t="s">
        <v>60</v>
      </c>
      <c r="I487" t="s">
        <v>42</v>
      </c>
      <c r="J487" t="s">
        <v>571</v>
      </c>
      <c r="K487" t="s">
        <v>33</v>
      </c>
      <c r="L487" t="s">
        <v>73</v>
      </c>
      <c r="M487" t="s">
        <v>138</v>
      </c>
      <c r="N487" t="s">
        <v>36</v>
      </c>
      <c r="O487" s="3">
        <v>333.71</v>
      </c>
      <c r="P487">
        <v>3</v>
      </c>
      <c r="Q487" s="4">
        <v>0</v>
      </c>
      <c r="R487" s="3">
        <v>1001.1299999999999</v>
      </c>
      <c r="S487" s="3">
        <v>177.33</v>
      </c>
      <c r="T487" s="3">
        <v>531.99</v>
      </c>
      <c r="U487" s="3">
        <v>469.13999999999987</v>
      </c>
      <c r="V487" s="5">
        <v>0.46861047016870927</v>
      </c>
      <c r="W487">
        <v>4</v>
      </c>
      <c r="X487" t="s">
        <v>58</v>
      </c>
      <c r="Y487" s="6">
        <v>3</v>
      </c>
    </row>
    <row r="488" spans="1:25">
      <c r="A488" t="s">
        <v>839</v>
      </c>
      <c r="B488" s="2">
        <v>45511</v>
      </c>
      <c r="C488">
        <v>2024</v>
      </c>
      <c r="D488" t="s">
        <v>369</v>
      </c>
      <c r="E488" t="s">
        <v>409</v>
      </c>
      <c r="F488" t="s">
        <v>51</v>
      </c>
      <c r="G488" t="s">
        <v>52</v>
      </c>
      <c r="H488" t="s">
        <v>102</v>
      </c>
      <c r="I488" t="s">
        <v>42</v>
      </c>
      <c r="J488" t="s">
        <v>692</v>
      </c>
      <c r="K488" t="s">
        <v>33</v>
      </c>
      <c r="L488" t="s">
        <v>88</v>
      </c>
      <c r="M488" t="s">
        <v>89</v>
      </c>
      <c r="N488" t="s">
        <v>36</v>
      </c>
      <c r="O488" s="3">
        <v>237.38</v>
      </c>
      <c r="P488">
        <v>5</v>
      </c>
      <c r="Q488" s="4">
        <v>0.15</v>
      </c>
      <c r="R488" s="3">
        <v>1008.865</v>
      </c>
      <c r="S488" s="3">
        <v>127.98</v>
      </c>
      <c r="T488" s="3">
        <v>639.9</v>
      </c>
      <c r="U488" s="3">
        <v>368.96500000000003</v>
      </c>
      <c r="V488" s="5">
        <v>0.36572286678594262</v>
      </c>
      <c r="W488">
        <v>6</v>
      </c>
      <c r="X488" t="s">
        <v>58</v>
      </c>
      <c r="Y488" s="6">
        <v>3</v>
      </c>
    </row>
    <row r="489" spans="1:25">
      <c r="A489" t="s">
        <v>840</v>
      </c>
      <c r="B489" s="2">
        <v>45517</v>
      </c>
      <c r="C489">
        <v>2024</v>
      </c>
      <c r="D489" t="s">
        <v>369</v>
      </c>
      <c r="E489" t="s">
        <v>409</v>
      </c>
      <c r="F489" t="s">
        <v>51</v>
      </c>
      <c r="G489" t="s">
        <v>52</v>
      </c>
      <c r="H489" t="s">
        <v>102</v>
      </c>
      <c r="I489" t="s">
        <v>42</v>
      </c>
      <c r="J489" t="s">
        <v>841</v>
      </c>
      <c r="K489" t="s">
        <v>47</v>
      </c>
      <c r="L489" t="s">
        <v>114</v>
      </c>
      <c r="M489" t="s">
        <v>120</v>
      </c>
      <c r="N489" t="s">
        <v>44</v>
      </c>
      <c r="O489" s="3">
        <v>27.08</v>
      </c>
      <c r="P489">
        <v>7</v>
      </c>
      <c r="Q489" s="4">
        <v>0</v>
      </c>
      <c r="R489" s="3">
        <v>189.56</v>
      </c>
      <c r="S489" s="3">
        <v>11.3</v>
      </c>
      <c r="T489" s="3">
        <v>79.100000000000009</v>
      </c>
      <c r="U489" s="3">
        <v>110.46</v>
      </c>
      <c r="V489" s="5">
        <v>0.58271787296898081</v>
      </c>
      <c r="W489">
        <v>5</v>
      </c>
      <c r="X489" t="s">
        <v>37</v>
      </c>
      <c r="Y489" s="6">
        <v>4</v>
      </c>
    </row>
    <row r="490" spans="1:25">
      <c r="A490" t="s">
        <v>842</v>
      </c>
      <c r="B490" s="2">
        <v>45517</v>
      </c>
      <c r="C490">
        <v>2024</v>
      </c>
      <c r="D490" t="s">
        <v>369</v>
      </c>
      <c r="E490" t="s">
        <v>409</v>
      </c>
      <c r="F490" t="s">
        <v>51</v>
      </c>
      <c r="G490" t="s">
        <v>97</v>
      </c>
      <c r="H490" t="s">
        <v>98</v>
      </c>
      <c r="I490" t="s">
        <v>42</v>
      </c>
      <c r="J490" t="s">
        <v>843</v>
      </c>
      <c r="K490" t="s">
        <v>47</v>
      </c>
      <c r="L490" t="s">
        <v>48</v>
      </c>
      <c r="M490" t="s">
        <v>49</v>
      </c>
      <c r="N490" t="s">
        <v>44</v>
      </c>
      <c r="O490" s="3">
        <v>31.14</v>
      </c>
      <c r="P490">
        <v>2</v>
      </c>
      <c r="Q490" s="4">
        <v>0.2</v>
      </c>
      <c r="R490" s="3">
        <v>49.824000000000005</v>
      </c>
      <c r="S490" s="3">
        <v>13.94</v>
      </c>
      <c r="T490" s="3">
        <v>27.88</v>
      </c>
      <c r="U490" s="3">
        <v>21.944000000000006</v>
      </c>
      <c r="V490" s="5">
        <v>0.44043031470777144</v>
      </c>
      <c r="W490">
        <v>1</v>
      </c>
      <c r="X490" t="s">
        <v>37</v>
      </c>
      <c r="Y490" s="6">
        <v>5</v>
      </c>
    </row>
    <row r="491" spans="1:25">
      <c r="A491" t="s">
        <v>844</v>
      </c>
      <c r="B491" s="2">
        <v>45520</v>
      </c>
      <c r="C491">
        <v>2024</v>
      </c>
      <c r="D491" t="s">
        <v>369</v>
      </c>
      <c r="E491" t="s">
        <v>409</v>
      </c>
      <c r="F491" t="s">
        <v>39</v>
      </c>
      <c r="G491" t="s">
        <v>91</v>
      </c>
      <c r="H491" t="s">
        <v>92</v>
      </c>
      <c r="I491" t="s">
        <v>71</v>
      </c>
      <c r="J491" t="s">
        <v>264</v>
      </c>
      <c r="K491" t="s">
        <v>47</v>
      </c>
      <c r="L491" t="s">
        <v>114</v>
      </c>
      <c r="M491" t="s">
        <v>120</v>
      </c>
      <c r="N491" t="s">
        <v>36</v>
      </c>
      <c r="O491" s="3">
        <v>27.09</v>
      </c>
      <c r="P491">
        <v>5</v>
      </c>
      <c r="Q491" s="4">
        <v>0.05</v>
      </c>
      <c r="R491" s="3">
        <v>128.67749999999998</v>
      </c>
      <c r="S491" s="3">
        <v>10.75</v>
      </c>
      <c r="T491" s="3">
        <v>53.75</v>
      </c>
      <c r="U491" s="3">
        <v>74.927499999999981</v>
      </c>
      <c r="V491" s="5">
        <v>0.58228905597326641</v>
      </c>
      <c r="W491">
        <v>3</v>
      </c>
      <c r="X491" t="s">
        <v>37</v>
      </c>
      <c r="Y491" s="6">
        <v>5</v>
      </c>
    </row>
    <row r="492" spans="1:25">
      <c r="A492" t="s">
        <v>845</v>
      </c>
      <c r="B492" s="2">
        <v>45524</v>
      </c>
      <c r="C492">
        <v>2024</v>
      </c>
      <c r="D492" t="s">
        <v>369</v>
      </c>
      <c r="E492" t="s">
        <v>409</v>
      </c>
      <c r="F492" t="s">
        <v>39</v>
      </c>
      <c r="G492" t="s">
        <v>40</v>
      </c>
      <c r="H492" t="s">
        <v>41</v>
      </c>
      <c r="I492" t="s">
        <v>71</v>
      </c>
      <c r="J492" t="s">
        <v>846</v>
      </c>
      <c r="K492" t="s">
        <v>47</v>
      </c>
      <c r="L492" t="s">
        <v>114</v>
      </c>
      <c r="M492" t="s">
        <v>120</v>
      </c>
      <c r="N492" t="s">
        <v>57</v>
      </c>
      <c r="O492" s="3">
        <v>24.89</v>
      </c>
      <c r="P492">
        <v>10</v>
      </c>
      <c r="Q492" s="4">
        <v>0.15</v>
      </c>
      <c r="R492" s="3">
        <v>211.565</v>
      </c>
      <c r="S492" s="3">
        <v>11.28</v>
      </c>
      <c r="T492" s="3">
        <v>112.8</v>
      </c>
      <c r="U492" s="3">
        <v>98.765000000000001</v>
      </c>
      <c r="V492" s="5">
        <v>0.46683052489778554</v>
      </c>
      <c r="W492">
        <v>3</v>
      </c>
      <c r="X492" t="s">
        <v>37</v>
      </c>
      <c r="Y492" s="6">
        <v>5</v>
      </c>
    </row>
    <row r="493" spans="1:25">
      <c r="A493" t="s">
        <v>847</v>
      </c>
      <c r="B493" s="2">
        <v>45524</v>
      </c>
      <c r="C493">
        <v>2024</v>
      </c>
      <c r="D493" t="s">
        <v>369</v>
      </c>
      <c r="E493" t="s">
        <v>409</v>
      </c>
      <c r="F493" t="s">
        <v>39</v>
      </c>
      <c r="G493" t="s">
        <v>40</v>
      </c>
      <c r="H493" t="s">
        <v>41</v>
      </c>
      <c r="I493" t="s">
        <v>71</v>
      </c>
      <c r="J493" t="s">
        <v>407</v>
      </c>
      <c r="K493" t="s">
        <v>47</v>
      </c>
      <c r="L493" t="s">
        <v>55</v>
      </c>
      <c r="M493" t="s">
        <v>69</v>
      </c>
      <c r="N493" t="s">
        <v>44</v>
      </c>
      <c r="O493" s="3">
        <v>45.08</v>
      </c>
      <c r="P493">
        <v>10</v>
      </c>
      <c r="Q493" s="4">
        <v>0.2</v>
      </c>
      <c r="R493" s="3">
        <v>360.64</v>
      </c>
      <c r="S493" s="3">
        <v>21.54</v>
      </c>
      <c r="T493" s="3">
        <v>215.39999999999998</v>
      </c>
      <c r="U493" s="3">
        <v>145.24</v>
      </c>
      <c r="V493" s="5">
        <v>0.40272848269742684</v>
      </c>
      <c r="W493">
        <v>6</v>
      </c>
      <c r="X493" t="s">
        <v>37</v>
      </c>
      <c r="Y493" s="6">
        <v>4</v>
      </c>
    </row>
    <row r="494" spans="1:25">
      <c r="A494" t="s">
        <v>848</v>
      </c>
      <c r="B494" s="2">
        <v>45525</v>
      </c>
      <c r="C494">
        <v>2024</v>
      </c>
      <c r="D494" t="s">
        <v>369</v>
      </c>
      <c r="E494" t="s">
        <v>409</v>
      </c>
      <c r="F494" t="s">
        <v>51</v>
      </c>
      <c r="G494" t="s">
        <v>52</v>
      </c>
      <c r="H494" t="s">
        <v>102</v>
      </c>
      <c r="I494" t="s">
        <v>31</v>
      </c>
      <c r="J494" t="s">
        <v>256</v>
      </c>
      <c r="K494" t="s">
        <v>47</v>
      </c>
      <c r="L494" t="s">
        <v>114</v>
      </c>
      <c r="M494" t="s">
        <v>120</v>
      </c>
      <c r="N494" t="s">
        <v>36</v>
      </c>
      <c r="O494" s="3">
        <v>25.17</v>
      </c>
      <c r="P494">
        <v>2</v>
      </c>
      <c r="Q494" s="4">
        <v>0.1</v>
      </c>
      <c r="R494" s="3">
        <v>45.306000000000004</v>
      </c>
      <c r="S494" s="3">
        <v>11.23</v>
      </c>
      <c r="T494" s="3">
        <v>22.46</v>
      </c>
      <c r="U494" s="3">
        <v>22.846000000000004</v>
      </c>
      <c r="V494" s="5">
        <v>0.50425992142321108</v>
      </c>
      <c r="W494">
        <v>2</v>
      </c>
      <c r="X494" t="s">
        <v>37</v>
      </c>
      <c r="Y494" s="6">
        <v>5</v>
      </c>
    </row>
    <row r="495" spans="1:25">
      <c r="A495" t="s">
        <v>849</v>
      </c>
      <c r="B495" s="2">
        <v>45527</v>
      </c>
      <c r="C495">
        <v>2024</v>
      </c>
      <c r="D495" t="s">
        <v>369</v>
      </c>
      <c r="E495" t="s">
        <v>409</v>
      </c>
      <c r="F495" t="s">
        <v>65</v>
      </c>
      <c r="G495" t="s">
        <v>66</v>
      </c>
      <c r="H495" t="s">
        <v>67</v>
      </c>
      <c r="I495" t="s">
        <v>78</v>
      </c>
      <c r="J495" t="s">
        <v>850</v>
      </c>
      <c r="K495" t="s">
        <v>61</v>
      </c>
      <c r="L495" t="s">
        <v>84</v>
      </c>
      <c r="M495" t="s">
        <v>135</v>
      </c>
      <c r="N495" t="s">
        <v>44</v>
      </c>
      <c r="O495" s="3">
        <v>859.11</v>
      </c>
      <c r="P495">
        <v>2</v>
      </c>
      <c r="Q495" s="4">
        <v>0</v>
      </c>
      <c r="R495" s="3">
        <v>1718.22</v>
      </c>
      <c r="S495" s="3">
        <v>554.78</v>
      </c>
      <c r="T495" s="3">
        <v>1109.56</v>
      </c>
      <c r="U495" s="3">
        <v>608.66000000000008</v>
      </c>
      <c r="V495" s="5">
        <v>0.35423868887569698</v>
      </c>
      <c r="W495">
        <v>4</v>
      </c>
      <c r="X495" t="s">
        <v>58</v>
      </c>
      <c r="Y495" s="6">
        <v>4</v>
      </c>
    </row>
    <row r="496" spans="1:25">
      <c r="A496" t="s">
        <v>851</v>
      </c>
      <c r="B496" s="2">
        <v>45529</v>
      </c>
      <c r="C496">
        <v>2024</v>
      </c>
      <c r="D496" t="s">
        <v>369</v>
      </c>
      <c r="E496" t="s">
        <v>409</v>
      </c>
      <c r="F496" t="s">
        <v>39</v>
      </c>
      <c r="G496" t="s">
        <v>91</v>
      </c>
      <c r="H496" t="s">
        <v>92</v>
      </c>
      <c r="I496" t="s">
        <v>78</v>
      </c>
      <c r="J496" t="s">
        <v>852</v>
      </c>
      <c r="K496" t="s">
        <v>61</v>
      </c>
      <c r="L496" t="s">
        <v>80</v>
      </c>
      <c r="M496" t="s">
        <v>81</v>
      </c>
      <c r="N496" t="s">
        <v>57</v>
      </c>
      <c r="O496" s="3">
        <v>986.65</v>
      </c>
      <c r="P496">
        <v>3</v>
      </c>
      <c r="Q496" s="4">
        <v>0</v>
      </c>
      <c r="R496" s="3">
        <v>2959.95</v>
      </c>
      <c r="S496" s="3">
        <v>650.11</v>
      </c>
      <c r="T496" s="3">
        <v>1950.33</v>
      </c>
      <c r="U496" s="3">
        <v>1009.6199999999999</v>
      </c>
      <c r="V496" s="5">
        <v>0.3410935995540465</v>
      </c>
      <c r="W496">
        <v>1</v>
      </c>
      <c r="X496" t="s">
        <v>37</v>
      </c>
      <c r="Y496" s="6">
        <v>5</v>
      </c>
    </row>
    <row r="497" spans="1:25">
      <c r="A497" t="s">
        <v>853</v>
      </c>
      <c r="B497" s="2">
        <v>45529</v>
      </c>
      <c r="C497">
        <v>2024</v>
      </c>
      <c r="D497" t="s">
        <v>369</v>
      </c>
      <c r="E497" t="s">
        <v>409</v>
      </c>
      <c r="F497" t="s">
        <v>28</v>
      </c>
      <c r="G497" t="s">
        <v>29</v>
      </c>
      <c r="H497" t="s">
        <v>60</v>
      </c>
      <c r="I497" t="s">
        <v>42</v>
      </c>
      <c r="J497" t="s">
        <v>173</v>
      </c>
      <c r="K497" t="s">
        <v>61</v>
      </c>
      <c r="L497" t="s">
        <v>62</v>
      </c>
      <c r="M497" t="s">
        <v>63</v>
      </c>
      <c r="N497" t="s">
        <v>44</v>
      </c>
      <c r="O497" s="3">
        <v>85.35</v>
      </c>
      <c r="P497">
        <v>4</v>
      </c>
      <c r="Q497" s="4">
        <v>0</v>
      </c>
      <c r="R497" s="3">
        <v>341.4</v>
      </c>
      <c r="S497" s="3">
        <v>42.99</v>
      </c>
      <c r="T497" s="3">
        <v>171.96</v>
      </c>
      <c r="U497" s="3">
        <v>169.43999999999997</v>
      </c>
      <c r="V497" s="5">
        <v>0.49630931458699468</v>
      </c>
      <c r="W497">
        <v>7</v>
      </c>
      <c r="X497" t="s">
        <v>37</v>
      </c>
      <c r="Y497" s="6">
        <v>4</v>
      </c>
    </row>
    <row r="498" spans="1:25">
      <c r="A498" t="s">
        <v>854</v>
      </c>
      <c r="B498" s="2">
        <v>45533</v>
      </c>
      <c r="C498">
        <v>2024</v>
      </c>
      <c r="D498" t="s">
        <v>369</v>
      </c>
      <c r="E498" t="s">
        <v>409</v>
      </c>
      <c r="F498" t="s">
        <v>65</v>
      </c>
      <c r="G498" t="s">
        <v>66</v>
      </c>
      <c r="H498" t="s">
        <v>67</v>
      </c>
      <c r="I498" t="s">
        <v>31</v>
      </c>
      <c r="J498" t="s">
        <v>504</v>
      </c>
      <c r="K498" t="s">
        <v>47</v>
      </c>
      <c r="L498" t="s">
        <v>114</v>
      </c>
      <c r="M498" t="s">
        <v>115</v>
      </c>
      <c r="N498" t="s">
        <v>36</v>
      </c>
      <c r="O498" s="3">
        <v>18.309999999999999</v>
      </c>
      <c r="P498">
        <v>11</v>
      </c>
      <c r="Q498" s="4">
        <v>0</v>
      </c>
      <c r="R498" s="3">
        <v>201.41</v>
      </c>
      <c r="S498" s="3">
        <v>6.88</v>
      </c>
      <c r="T498" s="3">
        <v>75.679999999999993</v>
      </c>
      <c r="U498" s="3">
        <v>125.73</v>
      </c>
      <c r="V498" s="5">
        <v>0.62424904423812122</v>
      </c>
      <c r="W498">
        <v>2</v>
      </c>
      <c r="X498" t="s">
        <v>37</v>
      </c>
      <c r="Y498" s="6">
        <v>5</v>
      </c>
    </row>
    <row r="499" spans="1:25">
      <c r="A499" t="s">
        <v>855</v>
      </c>
      <c r="B499" s="2">
        <v>45534</v>
      </c>
      <c r="C499">
        <v>2024</v>
      </c>
      <c r="D499" t="s">
        <v>369</v>
      </c>
      <c r="E499" t="s">
        <v>409</v>
      </c>
      <c r="F499" t="s">
        <v>28</v>
      </c>
      <c r="G499" t="s">
        <v>29</v>
      </c>
      <c r="H499" t="s">
        <v>106</v>
      </c>
      <c r="I499" t="s">
        <v>71</v>
      </c>
      <c r="J499" t="s">
        <v>704</v>
      </c>
      <c r="K499" t="s">
        <v>33</v>
      </c>
      <c r="L499" t="s">
        <v>73</v>
      </c>
      <c r="M499" t="s">
        <v>138</v>
      </c>
      <c r="N499" t="s">
        <v>36</v>
      </c>
      <c r="O499" s="3">
        <v>329.99</v>
      </c>
      <c r="P499">
        <v>4</v>
      </c>
      <c r="Q499" s="4">
        <v>0.2</v>
      </c>
      <c r="R499" s="3">
        <v>1055.9680000000001</v>
      </c>
      <c r="S499" s="3">
        <v>180.06</v>
      </c>
      <c r="T499" s="3">
        <v>720.24</v>
      </c>
      <c r="U499" s="3">
        <v>335.72800000000007</v>
      </c>
      <c r="V499" s="5">
        <v>0.31793387678414503</v>
      </c>
      <c r="W499">
        <v>4</v>
      </c>
      <c r="X499" t="s">
        <v>58</v>
      </c>
      <c r="Y499" s="6">
        <v>4</v>
      </c>
    </row>
    <row r="500" spans="1:25">
      <c r="A500" t="s">
        <v>856</v>
      </c>
      <c r="B500" s="2">
        <v>45535</v>
      </c>
      <c r="C500">
        <v>2024</v>
      </c>
      <c r="D500" t="s">
        <v>369</v>
      </c>
      <c r="E500" t="s">
        <v>409</v>
      </c>
      <c r="F500" t="s">
        <v>39</v>
      </c>
      <c r="G500" t="s">
        <v>40</v>
      </c>
      <c r="H500" t="s">
        <v>41</v>
      </c>
      <c r="I500" t="s">
        <v>31</v>
      </c>
      <c r="J500" t="s">
        <v>666</v>
      </c>
      <c r="K500" t="s">
        <v>61</v>
      </c>
      <c r="L500" t="s">
        <v>62</v>
      </c>
      <c r="M500" t="s">
        <v>195</v>
      </c>
      <c r="N500" t="s">
        <v>44</v>
      </c>
      <c r="O500" s="3">
        <v>77.430000000000007</v>
      </c>
      <c r="P500">
        <v>2</v>
      </c>
      <c r="Q500" s="4">
        <v>0</v>
      </c>
      <c r="R500" s="3">
        <v>154.86000000000001</v>
      </c>
      <c r="S500" s="3">
        <v>32.630000000000003</v>
      </c>
      <c r="T500" s="3">
        <v>65.260000000000005</v>
      </c>
      <c r="U500" s="3">
        <v>89.600000000000009</v>
      </c>
      <c r="V500" s="5">
        <v>0.57858711093891257</v>
      </c>
      <c r="W500">
        <v>3</v>
      </c>
      <c r="X500" t="s">
        <v>37</v>
      </c>
      <c r="Y500" s="6">
        <v>4</v>
      </c>
    </row>
    <row r="501" spans="1:25">
      <c r="A501" t="s">
        <v>857</v>
      </c>
      <c r="B501" s="2">
        <v>45536</v>
      </c>
      <c r="C501">
        <v>2024</v>
      </c>
      <c r="D501" t="s">
        <v>369</v>
      </c>
      <c r="E501" t="s">
        <v>458</v>
      </c>
      <c r="F501" t="s">
        <v>65</v>
      </c>
      <c r="G501" t="s">
        <v>76</v>
      </c>
      <c r="H501" t="s">
        <v>126</v>
      </c>
      <c r="I501" t="s">
        <v>42</v>
      </c>
      <c r="J501" t="s">
        <v>127</v>
      </c>
      <c r="K501" t="s">
        <v>61</v>
      </c>
      <c r="L501" t="s">
        <v>80</v>
      </c>
      <c r="M501" t="s">
        <v>187</v>
      </c>
      <c r="N501" t="s">
        <v>44</v>
      </c>
      <c r="O501" s="3">
        <v>1253.01</v>
      </c>
      <c r="P501">
        <v>3</v>
      </c>
      <c r="Q501" s="4">
        <v>0.2</v>
      </c>
      <c r="R501" s="3">
        <v>3007.2240000000002</v>
      </c>
      <c r="S501" s="3">
        <v>853.84</v>
      </c>
      <c r="T501" s="3">
        <v>2561.52</v>
      </c>
      <c r="U501" s="3">
        <v>445.70400000000018</v>
      </c>
      <c r="V501" s="5">
        <v>0.14821110765277218</v>
      </c>
      <c r="W501">
        <v>6</v>
      </c>
      <c r="X501" t="s">
        <v>37</v>
      </c>
      <c r="Y501" s="6">
        <v>5</v>
      </c>
    </row>
    <row r="502" spans="1:25">
      <c r="A502" t="s">
        <v>858</v>
      </c>
      <c r="B502" s="2">
        <v>45537</v>
      </c>
      <c r="C502">
        <v>2024</v>
      </c>
      <c r="D502" t="s">
        <v>369</v>
      </c>
      <c r="E502" t="s">
        <v>458</v>
      </c>
      <c r="F502" t="s">
        <v>39</v>
      </c>
      <c r="G502" t="s">
        <v>91</v>
      </c>
      <c r="H502" t="s">
        <v>92</v>
      </c>
      <c r="I502" t="s">
        <v>71</v>
      </c>
      <c r="J502" t="s">
        <v>313</v>
      </c>
      <c r="K502" t="s">
        <v>47</v>
      </c>
      <c r="L502" t="s">
        <v>114</v>
      </c>
      <c r="M502" t="s">
        <v>120</v>
      </c>
      <c r="N502" t="s">
        <v>57</v>
      </c>
      <c r="O502" s="3">
        <v>26.63</v>
      </c>
      <c r="P502">
        <v>10</v>
      </c>
      <c r="Q502" s="4">
        <v>0.15</v>
      </c>
      <c r="R502" s="3">
        <v>226.35499999999999</v>
      </c>
      <c r="S502" s="3">
        <v>10.74</v>
      </c>
      <c r="T502" s="3">
        <v>107.4</v>
      </c>
      <c r="U502" s="3">
        <v>118.95499999999998</v>
      </c>
      <c r="V502" s="5">
        <v>0.52552406617923164</v>
      </c>
      <c r="W502">
        <v>6</v>
      </c>
      <c r="X502" t="s">
        <v>58</v>
      </c>
      <c r="Y502" s="6">
        <v>3</v>
      </c>
    </row>
    <row r="503" spans="1:25">
      <c r="A503" t="s">
        <v>859</v>
      </c>
      <c r="B503" s="2">
        <v>45539</v>
      </c>
      <c r="C503">
        <v>2024</v>
      </c>
      <c r="D503" t="s">
        <v>369</v>
      </c>
      <c r="E503" t="s">
        <v>458</v>
      </c>
      <c r="F503" t="s">
        <v>39</v>
      </c>
      <c r="G503" t="s">
        <v>91</v>
      </c>
      <c r="H503" t="s">
        <v>92</v>
      </c>
      <c r="I503" t="s">
        <v>78</v>
      </c>
      <c r="J503" t="s">
        <v>860</v>
      </c>
      <c r="K503" t="s">
        <v>47</v>
      </c>
      <c r="L503" t="s">
        <v>114</v>
      </c>
      <c r="M503" t="s">
        <v>120</v>
      </c>
      <c r="N503" t="s">
        <v>36</v>
      </c>
      <c r="O503" s="3">
        <v>27.16</v>
      </c>
      <c r="P503">
        <v>12</v>
      </c>
      <c r="Q503" s="4">
        <v>0</v>
      </c>
      <c r="R503" s="3">
        <v>325.92</v>
      </c>
      <c r="S503" s="3">
        <v>10.85</v>
      </c>
      <c r="T503" s="3">
        <v>130.19999999999999</v>
      </c>
      <c r="U503" s="3">
        <v>195.72000000000003</v>
      </c>
      <c r="V503" s="5">
        <v>0.60051546391752586</v>
      </c>
      <c r="W503">
        <v>4</v>
      </c>
      <c r="X503" t="s">
        <v>37</v>
      </c>
      <c r="Y503" s="6">
        <v>4</v>
      </c>
    </row>
    <row r="504" spans="1:25">
      <c r="A504" t="s">
        <v>861</v>
      </c>
      <c r="B504" s="2">
        <v>45541</v>
      </c>
      <c r="C504">
        <v>2024</v>
      </c>
      <c r="D504" t="s">
        <v>369</v>
      </c>
      <c r="E504" t="s">
        <v>458</v>
      </c>
      <c r="F504" t="s">
        <v>39</v>
      </c>
      <c r="G504" t="s">
        <v>91</v>
      </c>
      <c r="H504" t="s">
        <v>92</v>
      </c>
      <c r="I504" t="s">
        <v>31</v>
      </c>
      <c r="J504" t="s">
        <v>173</v>
      </c>
      <c r="K504" t="s">
        <v>61</v>
      </c>
      <c r="L504" t="s">
        <v>62</v>
      </c>
      <c r="M504" t="s">
        <v>195</v>
      </c>
      <c r="N504" t="s">
        <v>57</v>
      </c>
      <c r="O504" s="3">
        <v>72.13</v>
      </c>
      <c r="P504">
        <v>3</v>
      </c>
      <c r="Q504" s="4">
        <v>0</v>
      </c>
      <c r="R504" s="3">
        <v>216.39</v>
      </c>
      <c r="S504" s="3">
        <v>31.23</v>
      </c>
      <c r="T504" s="3">
        <v>93.69</v>
      </c>
      <c r="U504" s="3">
        <v>122.69999999999999</v>
      </c>
      <c r="V504" s="5">
        <v>0.56703174823235825</v>
      </c>
      <c r="W504">
        <v>3</v>
      </c>
      <c r="X504" t="s">
        <v>37</v>
      </c>
      <c r="Y504" s="6">
        <v>5</v>
      </c>
    </row>
    <row r="505" spans="1:25">
      <c r="A505" t="s">
        <v>862</v>
      </c>
      <c r="B505" s="2">
        <v>45541</v>
      </c>
      <c r="C505">
        <v>2024</v>
      </c>
      <c r="D505" t="s">
        <v>369</v>
      </c>
      <c r="E505" t="s">
        <v>458</v>
      </c>
      <c r="F505" t="s">
        <v>28</v>
      </c>
      <c r="G505" t="s">
        <v>29</v>
      </c>
      <c r="H505" t="s">
        <v>60</v>
      </c>
      <c r="I505" t="s">
        <v>71</v>
      </c>
      <c r="J505" t="s">
        <v>825</v>
      </c>
      <c r="K505" t="s">
        <v>61</v>
      </c>
      <c r="L505" t="s">
        <v>80</v>
      </c>
      <c r="M505" t="s">
        <v>81</v>
      </c>
      <c r="N505" t="s">
        <v>57</v>
      </c>
      <c r="O505" s="3">
        <v>1009.35</v>
      </c>
      <c r="P505">
        <v>4</v>
      </c>
      <c r="Q505" s="4">
        <v>0</v>
      </c>
      <c r="R505" s="3">
        <v>4037.4</v>
      </c>
      <c r="S505" s="3">
        <v>678.89</v>
      </c>
      <c r="T505" s="3">
        <v>2715.56</v>
      </c>
      <c r="U505" s="3">
        <v>1321.8400000000001</v>
      </c>
      <c r="V505" s="5">
        <v>0.32739882102343093</v>
      </c>
      <c r="W505">
        <v>2</v>
      </c>
      <c r="X505" t="s">
        <v>37</v>
      </c>
      <c r="Y505" s="6">
        <v>4</v>
      </c>
    </row>
    <row r="506" spans="1:25">
      <c r="A506" t="s">
        <v>863</v>
      </c>
      <c r="B506" s="2">
        <v>45541</v>
      </c>
      <c r="C506">
        <v>2024</v>
      </c>
      <c r="D506" t="s">
        <v>369</v>
      </c>
      <c r="E506" t="s">
        <v>458</v>
      </c>
      <c r="F506" t="s">
        <v>51</v>
      </c>
      <c r="G506" t="s">
        <v>52</v>
      </c>
      <c r="H506" t="s">
        <v>53</v>
      </c>
      <c r="I506" t="s">
        <v>42</v>
      </c>
      <c r="J506" t="s">
        <v>205</v>
      </c>
      <c r="K506" t="s">
        <v>47</v>
      </c>
      <c r="L506" t="s">
        <v>55</v>
      </c>
      <c r="M506" t="s">
        <v>56</v>
      </c>
      <c r="N506" t="s">
        <v>36</v>
      </c>
      <c r="O506" s="3">
        <v>38.81</v>
      </c>
      <c r="P506">
        <v>4</v>
      </c>
      <c r="Q506" s="4">
        <v>0.15</v>
      </c>
      <c r="R506" s="3">
        <v>131.95400000000001</v>
      </c>
      <c r="S506" s="3">
        <v>17.190000000000001</v>
      </c>
      <c r="T506" s="3">
        <v>68.760000000000005</v>
      </c>
      <c r="U506" s="3">
        <v>63.194000000000003</v>
      </c>
      <c r="V506" s="5">
        <v>0.47890931688315624</v>
      </c>
      <c r="W506">
        <v>8</v>
      </c>
      <c r="X506" t="s">
        <v>37</v>
      </c>
      <c r="Y506" s="6">
        <v>3</v>
      </c>
    </row>
    <row r="507" spans="1:25">
      <c r="A507" t="s">
        <v>864</v>
      </c>
      <c r="B507" s="2">
        <v>45544</v>
      </c>
      <c r="C507">
        <v>2024</v>
      </c>
      <c r="D507" t="s">
        <v>369</v>
      </c>
      <c r="E507" t="s">
        <v>458</v>
      </c>
      <c r="F507" t="s">
        <v>28</v>
      </c>
      <c r="G507" t="s">
        <v>29</v>
      </c>
      <c r="H507" t="s">
        <v>30</v>
      </c>
      <c r="I507" t="s">
        <v>71</v>
      </c>
      <c r="J507" t="s">
        <v>812</v>
      </c>
      <c r="K507" t="s">
        <v>61</v>
      </c>
      <c r="L507" t="s">
        <v>62</v>
      </c>
      <c r="M507" t="s">
        <v>195</v>
      </c>
      <c r="N507" t="s">
        <v>57</v>
      </c>
      <c r="O507" s="3">
        <v>78.36</v>
      </c>
      <c r="P507">
        <v>4</v>
      </c>
      <c r="Q507" s="4">
        <v>0.1</v>
      </c>
      <c r="R507" s="3">
        <v>282.096</v>
      </c>
      <c r="S507" s="3">
        <v>32.72</v>
      </c>
      <c r="T507" s="3">
        <v>130.88</v>
      </c>
      <c r="U507" s="3">
        <v>151.21600000000001</v>
      </c>
      <c r="V507" s="5">
        <v>0.53604446713175657</v>
      </c>
      <c r="W507">
        <v>6</v>
      </c>
      <c r="X507" t="s">
        <v>37</v>
      </c>
      <c r="Y507" s="6">
        <v>4</v>
      </c>
    </row>
    <row r="508" spans="1:25">
      <c r="A508" t="s">
        <v>865</v>
      </c>
      <c r="B508" s="2">
        <v>45546</v>
      </c>
      <c r="C508">
        <v>2024</v>
      </c>
      <c r="D508" t="s">
        <v>369</v>
      </c>
      <c r="E508" t="s">
        <v>458</v>
      </c>
      <c r="F508" t="s">
        <v>65</v>
      </c>
      <c r="G508" t="s">
        <v>76</v>
      </c>
      <c r="H508" t="s">
        <v>126</v>
      </c>
      <c r="I508" t="s">
        <v>78</v>
      </c>
      <c r="J508" t="s">
        <v>407</v>
      </c>
      <c r="K508" t="s">
        <v>47</v>
      </c>
      <c r="L508" t="s">
        <v>114</v>
      </c>
      <c r="M508" t="s">
        <v>115</v>
      </c>
      <c r="N508" t="s">
        <v>36</v>
      </c>
      <c r="O508" s="3">
        <v>18.61</v>
      </c>
      <c r="P508">
        <v>12</v>
      </c>
      <c r="Q508" s="4">
        <v>0.2</v>
      </c>
      <c r="R508" s="3">
        <v>178.65600000000001</v>
      </c>
      <c r="S508" s="3">
        <v>6.89</v>
      </c>
      <c r="T508" s="3">
        <v>82.679999999999993</v>
      </c>
      <c r="U508" s="3">
        <v>95.976000000000013</v>
      </c>
      <c r="V508" s="5">
        <v>0.53721117678667385</v>
      </c>
      <c r="W508">
        <v>6</v>
      </c>
      <c r="X508" t="s">
        <v>37</v>
      </c>
      <c r="Y508" s="6">
        <v>4</v>
      </c>
    </row>
    <row r="509" spans="1:25">
      <c r="A509" t="s">
        <v>866</v>
      </c>
      <c r="B509" s="2">
        <v>45547</v>
      </c>
      <c r="C509">
        <v>2024</v>
      </c>
      <c r="D509" t="s">
        <v>369</v>
      </c>
      <c r="E509" t="s">
        <v>458</v>
      </c>
      <c r="F509" t="s">
        <v>65</v>
      </c>
      <c r="G509" t="s">
        <v>76</v>
      </c>
      <c r="H509" t="s">
        <v>77</v>
      </c>
      <c r="I509" t="s">
        <v>31</v>
      </c>
      <c r="J509" t="s">
        <v>83</v>
      </c>
      <c r="K509" t="s">
        <v>33</v>
      </c>
      <c r="L509" t="s">
        <v>88</v>
      </c>
      <c r="M509" t="s">
        <v>89</v>
      </c>
      <c r="N509" t="s">
        <v>36</v>
      </c>
      <c r="O509" s="3">
        <v>237.05</v>
      </c>
      <c r="P509">
        <v>3</v>
      </c>
      <c r="Q509" s="4">
        <v>0.05</v>
      </c>
      <c r="R509" s="3">
        <v>675.59250000000009</v>
      </c>
      <c r="S509" s="3">
        <v>132.38999999999999</v>
      </c>
      <c r="T509" s="3">
        <v>397.16999999999996</v>
      </c>
      <c r="U509" s="3">
        <v>278.42250000000013</v>
      </c>
      <c r="V509" s="5">
        <v>0.41211603148347575</v>
      </c>
      <c r="W509">
        <v>2</v>
      </c>
      <c r="X509" t="s">
        <v>37</v>
      </c>
      <c r="Y509" s="6">
        <v>5</v>
      </c>
    </row>
    <row r="510" spans="1:25">
      <c r="A510" t="s">
        <v>867</v>
      </c>
      <c r="B510" s="2">
        <v>45547</v>
      </c>
      <c r="C510">
        <v>2024</v>
      </c>
      <c r="D510" t="s">
        <v>369</v>
      </c>
      <c r="E510" t="s">
        <v>458</v>
      </c>
      <c r="F510" t="s">
        <v>39</v>
      </c>
      <c r="G510" t="s">
        <v>111</v>
      </c>
      <c r="H510" t="s">
        <v>112</v>
      </c>
      <c r="I510" t="s">
        <v>71</v>
      </c>
      <c r="J510" t="s">
        <v>152</v>
      </c>
      <c r="K510" t="s">
        <v>61</v>
      </c>
      <c r="L510" t="s">
        <v>62</v>
      </c>
      <c r="M510" t="s">
        <v>195</v>
      </c>
      <c r="N510" t="s">
        <v>44</v>
      </c>
      <c r="O510" s="3">
        <v>77.010000000000005</v>
      </c>
      <c r="P510">
        <v>4</v>
      </c>
      <c r="Q510" s="4">
        <v>0.1</v>
      </c>
      <c r="R510" s="3">
        <v>277.23600000000005</v>
      </c>
      <c r="S510" s="3">
        <v>32.130000000000003</v>
      </c>
      <c r="T510" s="3">
        <v>128.52000000000001</v>
      </c>
      <c r="U510" s="3">
        <v>148.71600000000004</v>
      </c>
      <c r="V510" s="5">
        <v>0.53642384105960272</v>
      </c>
      <c r="W510">
        <v>2</v>
      </c>
      <c r="X510" t="s">
        <v>37</v>
      </c>
      <c r="Y510" s="6">
        <v>5</v>
      </c>
    </row>
    <row r="511" spans="1:25">
      <c r="A511" t="s">
        <v>868</v>
      </c>
      <c r="B511" s="2">
        <v>45549</v>
      </c>
      <c r="C511">
        <v>2024</v>
      </c>
      <c r="D511" t="s">
        <v>369</v>
      </c>
      <c r="E511" t="s">
        <v>458</v>
      </c>
      <c r="F511" t="s">
        <v>28</v>
      </c>
      <c r="G511" t="s">
        <v>29</v>
      </c>
      <c r="H511" t="s">
        <v>30</v>
      </c>
      <c r="I511" t="s">
        <v>31</v>
      </c>
      <c r="J511" t="s">
        <v>248</v>
      </c>
      <c r="K511" t="s">
        <v>61</v>
      </c>
      <c r="L511" t="s">
        <v>84</v>
      </c>
      <c r="M511" t="s">
        <v>135</v>
      </c>
      <c r="N511" t="s">
        <v>57</v>
      </c>
      <c r="O511" s="3">
        <v>888.4</v>
      </c>
      <c r="P511">
        <v>4</v>
      </c>
      <c r="Q511" s="4">
        <v>0</v>
      </c>
      <c r="R511" s="3">
        <v>3553.6</v>
      </c>
      <c r="S511" s="3">
        <v>581.86</v>
      </c>
      <c r="T511" s="3">
        <v>2327.44</v>
      </c>
      <c r="U511" s="3">
        <v>1226.1599999999999</v>
      </c>
      <c r="V511" s="5">
        <v>0.34504727600180096</v>
      </c>
      <c r="W511">
        <v>4</v>
      </c>
      <c r="X511" t="s">
        <v>58</v>
      </c>
      <c r="Y511" s="6">
        <v>3</v>
      </c>
    </row>
    <row r="512" spans="1:25">
      <c r="A512" t="s">
        <v>869</v>
      </c>
      <c r="B512" s="2">
        <v>45550</v>
      </c>
      <c r="C512">
        <v>2024</v>
      </c>
      <c r="D512" t="s">
        <v>369</v>
      </c>
      <c r="E512" t="s">
        <v>458</v>
      </c>
      <c r="F512" t="s">
        <v>51</v>
      </c>
      <c r="G512" t="s">
        <v>52</v>
      </c>
      <c r="H512" t="s">
        <v>53</v>
      </c>
      <c r="I512" t="s">
        <v>31</v>
      </c>
      <c r="J512" t="s">
        <v>293</v>
      </c>
      <c r="K512" t="s">
        <v>33</v>
      </c>
      <c r="L512" t="s">
        <v>73</v>
      </c>
      <c r="M512" t="s">
        <v>74</v>
      </c>
      <c r="N512" t="s">
        <v>44</v>
      </c>
      <c r="O512" s="3">
        <v>718.03</v>
      </c>
      <c r="P512">
        <v>5</v>
      </c>
      <c r="Q512" s="4">
        <v>0</v>
      </c>
      <c r="R512" s="3">
        <v>3590.1499999999996</v>
      </c>
      <c r="S512" s="3">
        <v>424.6</v>
      </c>
      <c r="T512" s="3">
        <v>2123</v>
      </c>
      <c r="U512" s="3">
        <v>1467.1499999999996</v>
      </c>
      <c r="V512" s="5">
        <v>0.40865980530061413</v>
      </c>
      <c r="W512">
        <v>2</v>
      </c>
      <c r="X512" t="s">
        <v>37</v>
      </c>
      <c r="Y512" s="6">
        <v>5</v>
      </c>
    </row>
    <row r="513" spans="1:25">
      <c r="A513" t="s">
        <v>870</v>
      </c>
      <c r="B513" s="2">
        <v>45551</v>
      </c>
      <c r="C513">
        <v>2024</v>
      </c>
      <c r="D513" t="s">
        <v>369</v>
      </c>
      <c r="E513" t="s">
        <v>458</v>
      </c>
      <c r="F513" t="s">
        <v>28</v>
      </c>
      <c r="G513" t="s">
        <v>29</v>
      </c>
      <c r="H513" t="s">
        <v>60</v>
      </c>
      <c r="I513" t="s">
        <v>78</v>
      </c>
      <c r="J513" t="s">
        <v>592</v>
      </c>
      <c r="K513" t="s">
        <v>61</v>
      </c>
      <c r="L513" t="s">
        <v>62</v>
      </c>
      <c r="M513" t="s">
        <v>63</v>
      </c>
      <c r="N513" t="s">
        <v>44</v>
      </c>
      <c r="O513" s="3">
        <v>86.99</v>
      </c>
      <c r="P513">
        <v>5</v>
      </c>
      <c r="Q513" s="4">
        <v>0</v>
      </c>
      <c r="R513" s="3">
        <v>434.95</v>
      </c>
      <c r="S513" s="3">
        <v>44.59</v>
      </c>
      <c r="T513" s="3">
        <v>222.95000000000002</v>
      </c>
      <c r="U513" s="3">
        <v>211.99999999999997</v>
      </c>
      <c r="V513" s="5">
        <v>0.48741234624669499</v>
      </c>
      <c r="W513">
        <v>1</v>
      </c>
      <c r="X513" t="s">
        <v>37</v>
      </c>
      <c r="Y513" s="6">
        <v>5</v>
      </c>
    </row>
    <row r="514" spans="1:25">
      <c r="A514" t="s">
        <v>871</v>
      </c>
      <c r="B514" s="2">
        <v>45552</v>
      </c>
      <c r="C514">
        <v>2024</v>
      </c>
      <c r="D514" t="s">
        <v>369</v>
      </c>
      <c r="E514" t="s">
        <v>458</v>
      </c>
      <c r="F514" t="s">
        <v>51</v>
      </c>
      <c r="G514" t="s">
        <v>97</v>
      </c>
      <c r="H514" t="s">
        <v>98</v>
      </c>
      <c r="I514" t="s">
        <v>78</v>
      </c>
      <c r="J514" t="s">
        <v>872</v>
      </c>
      <c r="K514" t="s">
        <v>33</v>
      </c>
      <c r="L514" t="s">
        <v>34</v>
      </c>
      <c r="M514" t="s">
        <v>35</v>
      </c>
      <c r="N514" t="s">
        <v>57</v>
      </c>
      <c r="O514" s="3">
        <v>179.39</v>
      </c>
      <c r="P514">
        <v>1</v>
      </c>
      <c r="Q514" s="4">
        <v>0</v>
      </c>
      <c r="R514" s="3">
        <v>179.39</v>
      </c>
      <c r="S514" s="3">
        <v>92.72</v>
      </c>
      <c r="T514" s="3">
        <v>92.72</v>
      </c>
      <c r="U514" s="3">
        <v>86.669999999999987</v>
      </c>
      <c r="V514" s="5">
        <v>0.48313729862311161</v>
      </c>
      <c r="W514">
        <v>10</v>
      </c>
      <c r="X514" t="s">
        <v>37</v>
      </c>
      <c r="Y514" s="6">
        <v>3</v>
      </c>
    </row>
    <row r="515" spans="1:25">
      <c r="A515" t="s">
        <v>873</v>
      </c>
      <c r="B515" s="2">
        <v>45552</v>
      </c>
      <c r="C515">
        <v>2024</v>
      </c>
      <c r="D515" t="s">
        <v>369</v>
      </c>
      <c r="E515" t="s">
        <v>458</v>
      </c>
      <c r="F515" t="s">
        <v>28</v>
      </c>
      <c r="G515" t="s">
        <v>29</v>
      </c>
      <c r="H515" t="s">
        <v>60</v>
      </c>
      <c r="I515" t="s">
        <v>78</v>
      </c>
      <c r="J515" t="s">
        <v>405</v>
      </c>
      <c r="K515" t="s">
        <v>33</v>
      </c>
      <c r="L515" t="s">
        <v>73</v>
      </c>
      <c r="M515" t="s">
        <v>138</v>
      </c>
      <c r="N515" t="s">
        <v>36</v>
      </c>
      <c r="O515" s="3">
        <v>345.27</v>
      </c>
      <c r="P515">
        <v>2</v>
      </c>
      <c r="Q515" s="4">
        <v>0</v>
      </c>
      <c r="R515" s="3">
        <v>690.54</v>
      </c>
      <c r="S515" s="3">
        <v>181.76</v>
      </c>
      <c r="T515" s="3">
        <v>363.52</v>
      </c>
      <c r="U515" s="3">
        <v>327.02</v>
      </c>
      <c r="V515" s="5">
        <v>0.47357140788368524</v>
      </c>
      <c r="W515">
        <v>6</v>
      </c>
      <c r="X515" t="s">
        <v>37</v>
      </c>
      <c r="Y515" s="6">
        <v>4</v>
      </c>
    </row>
    <row r="516" spans="1:25">
      <c r="A516" t="s">
        <v>874</v>
      </c>
      <c r="B516" s="2">
        <v>45552</v>
      </c>
      <c r="C516">
        <v>2024</v>
      </c>
      <c r="D516" t="s">
        <v>369</v>
      </c>
      <c r="E516" t="s">
        <v>458</v>
      </c>
      <c r="F516" t="s">
        <v>39</v>
      </c>
      <c r="G516" t="s">
        <v>111</v>
      </c>
      <c r="H516" t="s">
        <v>112</v>
      </c>
      <c r="I516" t="s">
        <v>31</v>
      </c>
      <c r="J516" t="s">
        <v>715</v>
      </c>
      <c r="K516" t="s">
        <v>61</v>
      </c>
      <c r="L516" t="s">
        <v>80</v>
      </c>
      <c r="M516" t="s">
        <v>81</v>
      </c>
      <c r="N516" t="s">
        <v>44</v>
      </c>
      <c r="O516" s="3">
        <v>1043.81</v>
      </c>
      <c r="P516">
        <v>4</v>
      </c>
      <c r="Q516" s="4">
        <v>0.2</v>
      </c>
      <c r="R516" s="3">
        <v>3340.192</v>
      </c>
      <c r="S516" s="3">
        <v>670.05</v>
      </c>
      <c r="T516" s="3">
        <v>2680.2</v>
      </c>
      <c r="U516" s="3">
        <v>659.99200000000019</v>
      </c>
      <c r="V516" s="5">
        <v>0.19759103668292127</v>
      </c>
      <c r="W516">
        <v>7</v>
      </c>
      <c r="X516" t="s">
        <v>37</v>
      </c>
      <c r="Y516" s="6">
        <v>4</v>
      </c>
    </row>
    <row r="517" spans="1:25">
      <c r="A517" t="s">
        <v>875</v>
      </c>
      <c r="B517" s="2">
        <v>45555</v>
      </c>
      <c r="C517">
        <v>2024</v>
      </c>
      <c r="D517" t="s">
        <v>369</v>
      </c>
      <c r="E517" t="s">
        <v>458</v>
      </c>
      <c r="F517" t="s">
        <v>65</v>
      </c>
      <c r="G517" t="s">
        <v>66</v>
      </c>
      <c r="H517" t="s">
        <v>67</v>
      </c>
      <c r="I517" t="s">
        <v>71</v>
      </c>
      <c r="J517" t="s">
        <v>156</v>
      </c>
      <c r="K517" t="s">
        <v>47</v>
      </c>
      <c r="L517" t="s">
        <v>114</v>
      </c>
      <c r="M517" t="s">
        <v>115</v>
      </c>
      <c r="N517" t="s">
        <v>36</v>
      </c>
      <c r="O517" s="3">
        <v>18.14</v>
      </c>
      <c r="P517">
        <v>12</v>
      </c>
      <c r="Q517" s="4">
        <v>0</v>
      </c>
      <c r="R517" s="3">
        <v>217.68</v>
      </c>
      <c r="S517" s="3">
        <v>6.84</v>
      </c>
      <c r="T517" s="3">
        <v>82.08</v>
      </c>
      <c r="U517" s="3">
        <v>135.60000000000002</v>
      </c>
      <c r="V517" s="5">
        <v>0.62293274531422282</v>
      </c>
      <c r="W517">
        <v>6</v>
      </c>
      <c r="X517" t="s">
        <v>37</v>
      </c>
      <c r="Y517" s="6">
        <v>5</v>
      </c>
    </row>
    <row r="518" spans="1:25">
      <c r="A518" t="s">
        <v>876</v>
      </c>
      <c r="B518" s="2">
        <v>45556</v>
      </c>
      <c r="C518">
        <v>2024</v>
      </c>
      <c r="D518" t="s">
        <v>369</v>
      </c>
      <c r="E518" t="s">
        <v>458</v>
      </c>
      <c r="F518" t="s">
        <v>28</v>
      </c>
      <c r="G518" t="s">
        <v>29</v>
      </c>
      <c r="H518" t="s">
        <v>30</v>
      </c>
      <c r="I518" t="s">
        <v>71</v>
      </c>
      <c r="J518" t="s">
        <v>422</v>
      </c>
      <c r="K518" t="s">
        <v>61</v>
      </c>
      <c r="L518" t="s">
        <v>80</v>
      </c>
      <c r="M518" t="s">
        <v>187</v>
      </c>
      <c r="N518" t="s">
        <v>44</v>
      </c>
      <c r="O518" s="3">
        <v>1273.25</v>
      </c>
      <c r="P518">
        <v>1</v>
      </c>
      <c r="Q518" s="4">
        <v>0</v>
      </c>
      <c r="R518" s="3">
        <v>1273.25</v>
      </c>
      <c r="S518" s="3">
        <v>840.6</v>
      </c>
      <c r="T518" s="3">
        <v>840.6</v>
      </c>
      <c r="U518" s="3">
        <v>432.65</v>
      </c>
      <c r="V518" s="5">
        <v>0.33979972511290002</v>
      </c>
      <c r="W518">
        <v>4</v>
      </c>
      <c r="X518" t="s">
        <v>37</v>
      </c>
      <c r="Y518" s="6">
        <v>4</v>
      </c>
    </row>
    <row r="519" spans="1:25">
      <c r="A519" t="s">
        <v>877</v>
      </c>
      <c r="B519" s="2">
        <v>45557</v>
      </c>
      <c r="C519">
        <v>2024</v>
      </c>
      <c r="D519" t="s">
        <v>369</v>
      </c>
      <c r="E519" t="s">
        <v>458</v>
      </c>
      <c r="F519" t="s">
        <v>65</v>
      </c>
      <c r="G519" t="s">
        <v>76</v>
      </c>
      <c r="H519" t="s">
        <v>126</v>
      </c>
      <c r="I519" t="s">
        <v>78</v>
      </c>
      <c r="J519" t="s">
        <v>207</v>
      </c>
      <c r="K519" t="s">
        <v>33</v>
      </c>
      <c r="L519" t="s">
        <v>88</v>
      </c>
      <c r="M519" t="s">
        <v>89</v>
      </c>
      <c r="N519" t="s">
        <v>44</v>
      </c>
      <c r="O519" s="3">
        <v>248.99</v>
      </c>
      <c r="P519">
        <v>5</v>
      </c>
      <c r="Q519" s="4">
        <v>0.05</v>
      </c>
      <c r="R519" s="3">
        <v>1182.7025000000001</v>
      </c>
      <c r="S519" s="3">
        <v>127.71</v>
      </c>
      <c r="T519" s="3">
        <v>638.54999999999995</v>
      </c>
      <c r="U519" s="3">
        <v>544.15250000000015</v>
      </c>
      <c r="V519" s="5">
        <v>0.46009245773979518</v>
      </c>
      <c r="W519">
        <v>7</v>
      </c>
      <c r="X519" t="s">
        <v>37</v>
      </c>
      <c r="Y519" s="6">
        <v>4</v>
      </c>
    </row>
    <row r="520" spans="1:25">
      <c r="A520" t="s">
        <v>878</v>
      </c>
      <c r="B520" s="2">
        <v>45557</v>
      </c>
      <c r="C520">
        <v>2024</v>
      </c>
      <c r="D520" t="s">
        <v>369</v>
      </c>
      <c r="E520" t="s">
        <v>458</v>
      </c>
      <c r="F520" t="s">
        <v>65</v>
      </c>
      <c r="G520" t="s">
        <v>66</v>
      </c>
      <c r="H520" t="s">
        <v>67</v>
      </c>
      <c r="I520" t="s">
        <v>42</v>
      </c>
      <c r="J520" t="s">
        <v>493</v>
      </c>
      <c r="K520" t="s">
        <v>33</v>
      </c>
      <c r="L520" t="s">
        <v>73</v>
      </c>
      <c r="M520" t="s">
        <v>74</v>
      </c>
      <c r="N520" t="s">
        <v>44</v>
      </c>
      <c r="O520" s="3">
        <v>698.89</v>
      </c>
      <c r="P520">
        <v>1</v>
      </c>
      <c r="Q520" s="4">
        <v>0.15</v>
      </c>
      <c r="R520" s="3">
        <v>594.05650000000003</v>
      </c>
      <c r="S520" s="3">
        <v>408.7</v>
      </c>
      <c r="T520" s="3">
        <v>408.7</v>
      </c>
      <c r="U520" s="3">
        <v>185.35650000000004</v>
      </c>
      <c r="V520" s="5">
        <v>0.31201830128952385</v>
      </c>
      <c r="W520">
        <v>5</v>
      </c>
      <c r="X520" t="s">
        <v>37</v>
      </c>
      <c r="Y520" s="6">
        <v>4</v>
      </c>
    </row>
    <row r="521" spans="1:25">
      <c r="A521" t="s">
        <v>879</v>
      </c>
      <c r="B521" s="2">
        <v>45558</v>
      </c>
      <c r="C521">
        <v>2024</v>
      </c>
      <c r="D521" t="s">
        <v>369</v>
      </c>
      <c r="E521" t="s">
        <v>458</v>
      </c>
      <c r="F521" t="s">
        <v>51</v>
      </c>
      <c r="G521" t="s">
        <v>97</v>
      </c>
      <c r="H521" t="s">
        <v>98</v>
      </c>
      <c r="I521" t="s">
        <v>71</v>
      </c>
      <c r="J521" t="s">
        <v>661</v>
      </c>
      <c r="K521" t="s">
        <v>33</v>
      </c>
      <c r="L521" t="s">
        <v>73</v>
      </c>
      <c r="M521" t="s">
        <v>138</v>
      </c>
      <c r="N521" t="s">
        <v>57</v>
      </c>
      <c r="O521" s="3">
        <v>316.39999999999998</v>
      </c>
      <c r="P521">
        <v>1</v>
      </c>
      <c r="Q521" s="4">
        <v>0.1</v>
      </c>
      <c r="R521" s="3">
        <v>284.76</v>
      </c>
      <c r="S521" s="3">
        <v>179.71</v>
      </c>
      <c r="T521" s="3">
        <v>179.71</v>
      </c>
      <c r="U521" s="3">
        <v>105.04999999999998</v>
      </c>
      <c r="V521" s="5">
        <v>0.36890714988060114</v>
      </c>
      <c r="W521">
        <v>5</v>
      </c>
      <c r="X521" t="s">
        <v>37</v>
      </c>
      <c r="Y521" s="6">
        <v>4</v>
      </c>
    </row>
    <row r="522" spans="1:25">
      <c r="A522" t="s">
        <v>880</v>
      </c>
      <c r="B522" s="2">
        <v>45561</v>
      </c>
      <c r="C522">
        <v>2024</v>
      </c>
      <c r="D522" t="s">
        <v>369</v>
      </c>
      <c r="E522" t="s">
        <v>458</v>
      </c>
      <c r="F522" t="s">
        <v>39</v>
      </c>
      <c r="G522" t="s">
        <v>111</v>
      </c>
      <c r="H522" t="s">
        <v>112</v>
      </c>
      <c r="I522" t="s">
        <v>31</v>
      </c>
      <c r="J522" t="s">
        <v>83</v>
      </c>
      <c r="K522" t="s">
        <v>33</v>
      </c>
      <c r="L522" t="s">
        <v>88</v>
      </c>
      <c r="M522" t="s">
        <v>89</v>
      </c>
      <c r="N522" t="s">
        <v>36</v>
      </c>
      <c r="O522" s="3">
        <v>254.58</v>
      </c>
      <c r="P522">
        <v>3</v>
      </c>
      <c r="Q522" s="4">
        <v>0.1</v>
      </c>
      <c r="R522" s="3">
        <v>687.36599999999999</v>
      </c>
      <c r="S522" s="3">
        <v>126.16</v>
      </c>
      <c r="T522" s="3">
        <v>378.48</v>
      </c>
      <c r="U522" s="3">
        <v>308.88599999999997</v>
      </c>
      <c r="V522" s="5">
        <v>0.4493763148017213</v>
      </c>
      <c r="W522">
        <v>6</v>
      </c>
      <c r="X522" t="s">
        <v>37</v>
      </c>
      <c r="Y522" s="6">
        <v>5</v>
      </c>
    </row>
    <row r="523" spans="1:25">
      <c r="A523" t="s">
        <v>881</v>
      </c>
      <c r="B523" s="2">
        <v>45565</v>
      </c>
      <c r="C523">
        <v>2024</v>
      </c>
      <c r="D523" t="s">
        <v>369</v>
      </c>
      <c r="E523" t="s">
        <v>458</v>
      </c>
      <c r="F523" t="s">
        <v>51</v>
      </c>
      <c r="G523" t="s">
        <v>97</v>
      </c>
      <c r="H523" t="s">
        <v>98</v>
      </c>
      <c r="I523" t="s">
        <v>31</v>
      </c>
      <c r="J523" t="s">
        <v>549</v>
      </c>
      <c r="K523" t="s">
        <v>47</v>
      </c>
      <c r="L523" t="s">
        <v>55</v>
      </c>
      <c r="M523" t="s">
        <v>56</v>
      </c>
      <c r="N523" t="s">
        <v>57</v>
      </c>
      <c r="O523" s="3">
        <v>40.590000000000003</v>
      </c>
      <c r="P523">
        <v>7</v>
      </c>
      <c r="Q523" s="4">
        <v>0.2</v>
      </c>
      <c r="R523" s="3">
        <v>227.304</v>
      </c>
      <c r="S523" s="3">
        <v>16.96</v>
      </c>
      <c r="T523" s="3">
        <v>118.72</v>
      </c>
      <c r="U523" s="3">
        <v>108.584</v>
      </c>
      <c r="V523" s="5">
        <v>0.47770386794777042</v>
      </c>
      <c r="W523">
        <v>7</v>
      </c>
      <c r="X523" t="s">
        <v>37</v>
      </c>
      <c r="Y523" s="6">
        <v>4</v>
      </c>
    </row>
    <row r="524" spans="1:25">
      <c r="A524" t="s">
        <v>882</v>
      </c>
      <c r="B524" s="2">
        <v>45566</v>
      </c>
      <c r="C524">
        <v>2024</v>
      </c>
      <c r="D524" t="s">
        <v>488</v>
      </c>
      <c r="E524" t="s">
        <v>489</v>
      </c>
      <c r="F524" t="s">
        <v>28</v>
      </c>
      <c r="G524" t="s">
        <v>29</v>
      </c>
      <c r="H524" t="s">
        <v>106</v>
      </c>
      <c r="I524" t="s">
        <v>78</v>
      </c>
      <c r="J524" t="s">
        <v>883</v>
      </c>
      <c r="K524" t="s">
        <v>47</v>
      </c>
      <c r="L524" t="s">
        <v>114</v>
      </c>
      <c r="M524" t="s">
        <v>115</v>
      </c>
      <c r="N524" t="s">
        <v>57</v>
      </c>
      <c r="O524" s="3">
        <v>18.649999999999999</v>
      </c>
      <c r="P524">
        <v>5</v>
      </c>
      <c r="Q524" s="4">
        <v>0.2</v>
      </c>
      <c r="R524" s="3">
        <v>74.600000000000009</v>
      </c>
      <c r="S524" s="3">
        <v>6.87</v>
      </c>
      <c r="T524" s="3">
        <v>34.35</v>
      </c>
      <c r="U524" s="3">
        <v>40.250000000000007</v>
      </c>
      <c r="V524" s="5">
        <v>0.53954423592493306</v>
      </c>
      <c r="W524">
        <v>1</v>
      </c>
      <c r="X524" t="s">
        <v>37</v>
      </c>
      <c r="Y524" s="6">
        <v>5</v>
      </c>
    </row>
    <row r="525" spans="1:25">
      <c r="A525" t="s">
        <v>884</v>
      </c>
      <c r="B525" s="2">
        <v>45567</v>
      </c>
      <c r="C525">
        <v>2024</v>
      </c>
      <c r="D525" t="s">
        <v>488</v>
      </c>
      <c r="E525" t="s">
        <v>489</v>
      </c>
      <c r="F525" t="s">
        <v>51</v>
      </c>
      <c r="G525" t="s">
        <v>52</v>
      </c>
      <c r="H525" t="s">
        <v>53</v>
      </c>
      <c r="I525" t="s">
        <v>31</v>
      </c>
      <c r="J525" t="s">
        <v>538</v>
      </c>
      <c r="K525" t="s">
        <v>61</v>
      </c>
      <c r="L525" t="s">
        <v>84</v>
      </c>
      <c r="M525" t="s">
        <v>85</v>
      </c>
      <c r="N525" t="s">
        <v>57</v>
      </c>
      <c r="O525" s="3">
        <v>149.81</v>
      </c>
      <c r="P525">
        <v>2</v>
      </c>
      <c r="Q525" s="4">
        <v>0.05</v>
      </c>
      <c r="R525" s="3">
        <v>284.63900000000001</v>
      </c>
      <c r="S525" s="3">
        <v>73.930000000000007</v>
      </c>
      <c r="T525" s="3">
        <v>147.86000000000001</v>
      </c>
      <c r="U525" s="3">
        <v>136.779</v>
      </c>
      <c r="V525" s="5">
        <v>0.4805349934478409</v>
      </c>
      <c r="W525">
        <v>4</v>
      </c>
      <c r="X525" t="s">
        <v>37</v>
      </c>
      <c r="Y525" s="6">
        <v>5</v>
      </c>
    </row>
    <row r="526" spans="1:25">
      <c r="A526" t="s">
        <v>885</v>
      </c>
      <c r="B526" s="2">
        <v>45568</v>
      </c>
      <c r="C526">
        <v>2024</v>
      </c>
      <c r="D526" t="s">
        <v>488</v>
      </c>
      <c r="E526" t="s">
        <v>489</v>
      </c>
      <c r="F526" t="s">
        <v>28</v>
      </c>
      <c r="G526" t="s">
        <v>29</v>
      </c>
      <c r="H526" t="s">
        <v>106</v>
      </c>
      <c r="I526" t="s">
        <v>31</v>
      </c>
      <c r="J526" t="s">
        <v>843</v>
      </c>
      <c r="K526" t="s">
        <v>61</v>
      </c>
      <c r="L526" t="s">
        <v>80</v>
      </c>
      <c r="M526" t="s">
        <v>81</v>
      </c>
      <c r="N526" t="s">
        <v>36</v>
      </c>
      <c r="O526" s="3">
        <v>973.15</v>
      </c>
      <c r="P526">
        <v>5</v>
      </c>
      <c r="Q526" s="4">
        <v>0</v>
      </c>
      <c r="R526" s="3">
        <v>4865.75</v>
      </c>
      <c r="S526" s="3">
        <v>662.11</v>
      </c>
      <c r="T526" s="3">
        <v>3310.55</v>
      </c>
      <c r="U526" s="3">
        <v>1555.1999999999998</v>
      </c>
      <c r="V526" s="5">
        <v>0.31962184658069154</v>
      </c>
      <c r="W526">
        <v>5</v>
      </c>
      <c r="X526" t="s">
        <v>37</v>
      </c>
      <c r="Y526" s="6">
        <v>4</v>
      </c>
    </row>
    <row r="527" spans="1:25">
      <c r="A527" t="s">
        <v>886</v>
      </c>
      <c r="B527" s="2">
        <v>45568</v>
      </c>
      <c r="C527">
        <v>2024</v>
      </c>
      <c r="D527" t="s">
        <v>488</v>
      </c>
      <c r="E527" t="s">
        <v>489</v>
      </c>
      <c r="F527" t="s">
        <v>28</v>
      </c>
      <c r="G527" t="s">
        <v>29</v>
      </c>
      <c r="H527" t="s">
        <v>30</v>
      </c>
      <c r="I527" t="s">
        <v>78</v>
      </c>
      <c r="J527" t="s">
        <v>814</v>
      </c>
      <c r="K527" t="s">
        <v>47</v>
      </c>
      <c r="L527" t="s">
        <v>55</v>
      </c>
      <c r="M527" t="s">
        <v>56</v>
      </c>
      <c r="N527" t="s">
        <v>36</v>
      </c>
      <c r="O527" s="3">
        <v>40.81</v>
      </c>
      <c r="P527">
        <v>5</v>
      </c>
      <c r="Q527" s="4">
        <v>0.15</v>
      </c>
      <c r="R527" s="3">
        <v>173.4425</v>
      </c>
      <c r="S527" s="3">
        <v>16.510000000000002</v>
      </c>
      <c r="T527" s="3">
        <v>82.550000000000011</v>
      </c>
      <c r="U527" s="3">
        <v>90.892499999999984</v>
      </c>
      <c r="V527" s="5">
        <v>0.52404975712411883</v>
      </c>
      <c r="W527">
        <v>6</v>
      </c>
      <c r="X527" t="s">
        <v>37</v>
      </c>
      <c r="Y527" s="6">
        <v>4</v>
      </c>
    </row>
    <row r="528" spans="1:25">
      <c r="A528" t="s">
        <v>887</v>
      </c>
      <c r="B528" s="2">
        <v>45569</v>
      </c>
      <c r="C528">
        <v>2024</v>
      </c>
      <c r="D528" t="s">
        <v>488</v>
      </c>
      <c r="E528" t="s">
        <v>489</v>
      </c>
      <c r="F528" t="s">
        <v>39</v>
      </c>
      <c r="G528" t="s">
        <v>91</v>
      </c>
      <c r="H528" t="s">
        <v>92</v>
      </c>
      <c r="I528" t="s">
        <v>31</v>
      </c>
      <c r="J528" t="s">
        <v>535</v>
      </c>
      <c r="K528" t="s">
        <v>61</v>
      </c>
      <c r="L528" t="s">
        <v>84</v>
      </c>
      <c r="M528" t="s">
        <v>85</v>
      </c>
      <c r="N528" t="s">
        <v>57</v>
      </c>
      <c r="O528" s="3">
        <v>149.97</v>
      </c>
      <c r="P528">
        <v>3</v>
      </c>
      <c r="Q528" s="4">
        <v>0.05</v>
      </c>
      <c r="R528" s="3">
        <v>427.41449999999998</v>
      </c>
      <c r="S528" s="3">
        <v>72.47</v>
      </c>
      <c r="T528" s="3">
        <v>217.41</v>
      </c>
      <c r="U528" s="3">
        <v>210.00449999999998</v>
      </c>
      <c r="V528" s="5">
        <v>0.49133686386400083</v>
      </c>
      <c r="W528">
        <v>5</v>
      </c>
      <c r="X528" t="s">
        <v>37</v>
      </c>
      <c r="Y528" s="6">
        <v>4</v>
      </c>
    </row>
    <row r="529" spans="1:25">
      <c r="A529" t="s">
        <v>888</v>
      </c>
      <c r="B529" s="2">
        <v>45569</v>
      </c>
      <c r="C529">
        <v>2024</v>
      </c>
      <c r="D529" t="s">
        <v>488</v>
      </c>
      <c r="E529" t="s">
        <v>489</v>
      </c>
      <c r="F529" t="s">
        <v>28</v>
      </c>
      <c r="G529" t="s">
        <v>29</v>
      </c>
      <c r="H529" t="s">
        <v>106</v>
      </c>
      <c r="I529" t="s">
        <v>71</v>
      </c>
      <c r="J529" t="s">
        <v>391</v>
      </c>
      <c r="K529" t="s">
        <v>47</v>
      </c>
      <c r="L529" t="s">
        <v>48</v>
      </c>
      <c r="M529" t="s">
        <v>49</v>
      </c>
      <c r="N529" t="s">
        <v>57</v>
      </c>
      <c r="O529" s="3">
        <v>32.56</v>
      </c>
      <c r="P529">
        <v>10</v>
      </c>
      <c r="Q529" s="4">
        <v>0.15</v>
      </c>
      <c r="R529" s="3">
        <v>276.76</v>
      </c>
      <c r="S529" s="3">
        <v>14.18</v>
      </c>
      <c r="T529" s="3">
        <v>141.80000000000001</v>
      </c>
      <c r="U529" s="3">
        <v>134.95999999999998</v>
      </c>
      <c r="V529" s="5">
        <v>0.48764272293684052</v>
      </c>
      <c r="W529">
        <v>6</v>
      </c>
      <c r="X529" t="s">
        <v>37</v>
      </c>
      <c r="Y529" s="6">
        <v>4</v>
      </c>
    </row>
    <row r="530" spans="1:25">
      <c r="A530" t="s">
        <v>889</v>
      </c>
      <c r="B530" s="2">
        <v>45569</v>
      </c>
      <c r="C530">
        <v>2024</v>
      </c>
      <c r="D530" t="s">
        <v>488</v>
      </c>
      <c r="E530" t="s">
        <v>489</v>
      </c>
      <c r="F530" t="s">
        <v>28</v>
      </c>
      <c r="G530" t="s">
        <v>29</v>
      </c>
      <c r="H530" t="s">
        <v>60</v>
      </c>
      <c r="I530" t="s">
        <v>42</v>
      </c>
      <c r="J530" t="s">
        <v>410</v>
      </c>
      <c r="K530" t="s">
        <v>47</v>
      </c>
      <c r="L530" t="s">
        <v>48</v>
      </c>
      <c r="M530" t="s">
        <v>104</v>
      </c>
      <c r="N530" t="s">
        <v>44</v>
      </c>
      <c r="O530" s="3">
        <v>56.42</v>
      </c>
      <c r="P530">
        <v>3</v>
      </c>
      <c r="Q530" s="4">
        <v>0</v>
      </c>
      <c r="R530" s="3">
        <v>169.26</v>
      </c>
      <c r="S530" s="3">
        <v>30.27</v>
      </c>
      <c r="T530" s="3">
        <v>90.81</v>
      </c>
      <c r="U530" s="3">
        <v>78.449999999999989</v>
      </c>
      <c r="V530" s="5">
        <v>0.46348812477844731</v>
      </c>
      <c r="W530">
        <v>6</v>
      </c>
      <c r="X530" t="s">
        <v>37</v>
      </c>
      <c r="Y530" s="6">
        <v>4</v>
      </c>
    </row>
    <row r="531" spans="1:25">
      <c r="A531" t="s">
        <v>890</v>
      </c>
      <c r="B531" s="2">
        <v>45571</v>
      </c>
      <c r="C531">
        <v>2024</v>
      </c>
      <c r="D531" t="s">
        <v>488</v>
      </c>
      <c r="E531" t="s">
        <v>489</v>
      </c>
      <c r="F531" t="s">
        <v>65</v>
      </c>
      <c r="G531" t="s">
        <v>76</v>
      </c>
      <c r="H531" t="s">
        <v>126</v>
      </c>
      <c r="I531" t="s">
        <v>31</v>
      </c>
      <c r="J531" t="s">
        <v>413</v>
      </c>
      <c r="K531" t="s">
        <v>47</v>
      </c>
      <c r="L531" t="s">
        <v>55</v>
      </c>
      <c r="M531" t="s">
        <v>69</v>
      </c>
      <c r="N531" t="s">
        <v>44</v>
      </c>
      <c r="O531" s="3">
        <v>43.99</v>
      </c>
      <c r="P531">
        <v>2</v>
      </c>
      <c r="Q531" s="4">
        <v>0.2</v>
      </c>
      <c r="R531" s="3">
        <v>70.384</v>
      </c>
      <c r="S531" s="3">
        <v>21.39</v>
      </c>
      <c r="T531" s="3">
        <v>42.78</v>
      </c>
      <c r="U531" s="3">
        <v>27.603999999999999</v>
      </c>
      <c r="V531" s="5">
        <v>0.39219140713798589</v>
      </c>
      <c r="W531">
        <v>1</v>
      </c>
      <c r="X531" t="s">
        <v>37</v>
      </c>
      <c r="Y531" s="6">
        <v>5</v>
      </c>
    </row>
    <row r="532" spans="1:25">
      <c r="A532" t="s">
        <v>891</v>
      </c>
      <c r="B532" s="2">
        <v>45572</v>
      </c>
      <c r="C532">
        <v>2024</v>
      </c>
      <c r="D532" t="s">
        <v>488</v>
      </c>
      <c r="E532" t="s">
        <v>489</v>
      </c>
      <c r="F532" t="s">
        <v>65</v>
      </c>
      <c r="G532" t="s">
        <v>76</v>
      </c>
      <c r="H532" t="s">
        <v>126</v>
      </c>
      <c r="I532" t="s">
        <v>31</v>
      </c>
      <c r="J532" t="s">
        <v>410</v>
      </c>
      <c r="K532" t="s">
        <v>61</v>
      </c>
      <c r="L532" t="s">
        <v>80</v>
      </c>
      <c r="M532" t="s">
        <v>187</v>
      </c>
      <c r="N532" t="s">
        <v>44</v>
      </c>
      <c r="O532" s="3">
        <v>1313.62</v>
      </c>
      <c r="P532">
        <v>5</v>
      </c>
      <c r="Q532" s="4">
        <v>0</v>
      </c>
      <c r="R532" s="3">
        <v>6568.0999999999995</v>
      </c>
      <c r="S532" s="3">
        <v>859.25</v>
      </c>
      <c r="T532" s="3">
        <v>4296.25</v>
      </c>
      <c r="U532" s="3">
        <v>2271.8499999999995</v>
      </c>
      <c r="V532" s="5">
        <v>0.34589150591495255</v>
      </c>
      <c r="W532">
        <v>6</v>
      </c>
      <c r="X532" t="s">
        <v>37</v>
      </c>
      <c r="Y532" s="6">
        <v>4</v>
      </c>
    </row>
    <row r="533" spans="1:25">
      <c r="A533" t="s">
        <v>892</v>
      </c>
      <c r="B533" s="2">
        <v>45572</v>
      </c>
      <c r="C533">
        <v>2024</v>
      </c>
      <c r="D533" t="s">
        <v>488</v>
      </c>
      <c r="E533" t="s">
        <v>489</v>
      </c>
      <c r="F533" t="s">
        <v>28</v>
      </c>
      <c r="G533" t="s">
        <v>29</v>
      </c>
      <c r="H533" t="s">
        <v>30</v>
      </c>
      <c r="I533" t="s">
        <v>71</v>
      </c>
      <c r="J533" t="s">
        <v>428</v>
      </c>
      <c r="K533" t="s">
        <v>47</v>
      </c>
      <c r="L533" t="s">
        <v>55</v>
      </c>
      <c r="M533" t="s">
        <v>56</v>
      </c>
      <c r="N533" t="s">
        <v>57</v>
      </c>
      <c r="O533" s="3">
        <v>37.65</v>
      </c>
      <c r="P533">
        <v>5</v>
      </c>
      <c r="Q533" s="4">
        <v>0</v>
      </c>
      <c r="R533" s="3">
        <v>188.25</v>
      </c>
      <c r="S533" s="3">
        <v>17.239999999999998</v>
      </c>
      <c r="T533" s="3">
        <v>86.199999999999989</v>
      </c>
      <c r="U533" s="3">
        <v>102.05000000000001</v>
      </c>
      <c r="V533" s="5">
        <v>0.54209827357237717</v>
      </c>
      <c r="W533">
        <v>1</v>
      </c>
      <c r="X533" t="s">
        <v>37</v>
      </c>
      <c r="Y533" s="6">
        <v>5</v>
      </c>
    </row>
    <row r="534" spans="1:25">
      <c r="A534" t="s">
        <v>893</v>
      </c>
      <c r="B534" s="2">
        <v>45574</v>
      </c>
      <c r="C534">
        <v>2024</v>
      </c>
      <c r="D534" t="s">
        <v>488</v>
      </c>
      <c r="E534" t="s">
        <v>489</v>
      </c>
      <c r="F534" t="s">
        <v>28</v>
      </c>
      <c r="G534" t="s">
        <v>29</v>
      </c>
      <c r="H534" t="s">
        <v>60</v>
      </c>
      <c r="I534" t="s">
        <v>42</v>
      </c>
      <c r="J534" t="s">
        <v>894</v>
      </c>
      <c r="K534" t="s">
        <v>33</v>
      </c>
      <c r="L534" t="s">
        <v>88</v>
      </c>
      <c r="M534" t="s">
        <v>100</v>
      </c>
      <c r="N534" t="s">
        <v>44</v>
      </c>
      <c r="O534" s="3">
        <v>303.5</v>
      </c>
      <c r="P534">
        <v>2</v>
      </c>
      <c r="Q534" s="4">
        <v>0.2</v>
      </c>
      <c r="R534" s="3">
        <v>485.6</v>
      </c>
      <c r="S534" s="3">
        <v>150.47999999999999</v>
      </c>
      <c r="T534" s="3">
        <v>300.95999999999998</v>
      </c>
      <c r="U534" s="3">
        <v>184.64000000000004</v>
      </c>
      <c r="V534" s="5">
        <v>0.3802306425041187</v>
      </c>
      <c r="W534">
        <v>3</v>
      </c>
      <c r="X534" t="s">
        <v>37</v>
      </c>
      <c r="Y534" s="6">
        <v>5</v>
      </c>
    </row>
    <row r="535" spans="1:25">
      <c r="A535" t="s">
        <v>895</v>
      </c>
      <c r="B535" s="2">
        <v>45575</v>
      </c>
      <c r="C535">
        <v>2024</v>
      </c>
      <c r="D535" t="s">
        <v>488</v>
      </c>
      <c r="E535" t="s">
        <v>489</v>
      </c>
      <c r="F535" t="s">
        <v>65</v>
      </c>
      <c r="G535" t="s">
        <v>76</v>
      </c>
      <c r="H535" t="s">
        <v>77</v>
      </c>
      <c r="I535" t="s">
        <v>78</v>
      </c>
      <c r="J535" t="s">
        <v>355</v>
      </c>
      <c r="K535" t="s">
        <v>33</v>
      </c>
      <c r="L535" t="s">
        <v>34</v>
      </c>
      <c r="M535" t="s">
        <v>35</v>
      </c>
      <c r="N535" t="s">
        <v>36</v>
      </c>
      <c r="O535" s="3">
        <v>180.73</v>
      </c>
      <c r="P535">
        <v>2</v>
      </c>
      <c r="Q535" s="4">
        <v>0</v>
      </c>
      <c r="R535" s="3">
        <v>361.46</v>
      </c>
      <c r="S535" s="3">
        <v>93.93</v>
      </c>
      <c r="T535" s="3">
        <v>187.86</v>
      </c>
      <c r="U535" s="3">
        <v>173.59999999999997</v>
      </c>
      <c r="V535" s="5">
        <v>0.48027444253859342</v>
      </c>
      <c r="W535">
        <v>6</v>
      </c>
      <c r="X535" t="s">
        <v>37</v>
      </c>
      <c r="Y535" s="6">
        <v>4</v>
      </c>
    </row>
    <row r="536" spans="1:25">
      <c r="A536" t="s">
        <v>896</v>
      </c>
      <c r="B536" s="2">
        <v>45577</v>
      </c>
      <c r="C536">
        <v>2024</v>
      </c>
      <c r="D536" t="s">
        <v>488</v>
      </c>
      <c r="E536" t="s">
        <v>489</v>
      </c>
      <c r="F536" t="s">
        <v>51</v>
      </c>
      <c r="G536" t="s">
        <v>52</v>
      </c>
      <c r="H536" t="s">
        <v>53</v>
      </c>
      <c r="I536" t="s">
        <v>71</v>
      </c>
      <c r="J536" t="s">
        <v>264</v>
      </c>
      <c r="K536" t="s">
        <v>61</v>
      </c>
      <c r="L536" t="s">
        <v>84</v>
      </c>
      <c r="M536" t="s">
        <v>135</v>
      </c>
      <c r="N536" t="s">
        <v>57</v>
      </c>
      <c r="O536" s="3">
        <v>891.95</v>
      </c>
      <c r="P536">
        <v>5</v>
      </c>
      <c r="Q536" s="4">
        <v>0.1</v>
      </c>
      <c r="R536" s="3">
        <v>4013.7750000000001</v>
      </c>
      <c r="S536" s="3">
        <v>585.47</v>
      </c>
      <c r="T536" s="3">
        <v>2927.3500000000004</v>
      </c>
      <c r="U536" s="3">
        <v>1086.4249999999997</v>
      </c>
      <c r="V536" s="5">
        <v>0.27067411601298025</v>
      </c>
      <c r="W536">
        <v>7</v>
      </c>
      <c r="X536" t="s">
        <v>37</v>
      </c>
      <c r="Y536" s="6">
        <v>4</v>
      </c>
    </row>
    <row r="537" spans="1:25">
      <c r="A537" t="s">
        <v>897</v>
      </c>
      <c r="B537" s="2">
        <v>45578</v>
      </c>
      <c r="C537">
        <v>2024</v>
      </c>
      <c r="D537" t="s">
        <v>488</v>
      </c>
      <c r="E537" t="s">
        <v>489</v>
      </c>
      <c r="F537" t="s">
        <v>39</v>
      </c>
      <c r="G537" t="s">
        <v>40</v>
      </c>
      <c r="H537" t="s">
        <v>41</v>
      </c>
      <c r="I537" t="s">
        <v>31</v>
      </c>
      <c r="J537" t="s">
        <v>223</v>
      </c>
      <c r="K537" t="s">
        <v>47</v>
      </c>
      <c r="L537" t="s">
        <v>55</v>
      </c>
      <c r="M537" t="s">
        <v>56</v>
      </c>
      <c r="N537" t="s">
        <v>36</v>
      </c>
      <c r="O537" s="3">
        <v>40.92</v>
      </c>
      <c r="P537">
        <v>10</v>
      </c>
      <c r="Q537" s="4">
        <v>0.2</v>
      </c>
      <c r="R537" s="3">
        <v>327.36000000000007</v>
      </c>
      <c r="S537" s="3">
        <v>16.82</v>
      </c>
      <c r="T537" s="3">
        <v>168.2</v>
      </c>
      <c r="U537" s="3">
        <v>159.16000000000008</v>
      </c>
      <c r="V537" s="5">
        <v>0.48619257086999035</v>
      </c>
      <c r="W537">
        <v>1</v>
      </c>
      <c r="X537" t="s">
        <v>37</v>
      </c>
      <c r="Y537" s="6">
        <v>5</v>
      </c>
    </row>
    <row r="538" spans="1:25">
      <c r="A538" t="s">
        <v>898</v>
      </c>
      <c r="B538" s="2">
        <v>45579</v>
      </c>
      <c r="C538">
        <v>2024</v>
      </c>
      <c r="D538" t="s">
        <v>488</v>
      </c>
      <c r="E538" t="s">
        <v>489</v>
      </c>
      <c r="F538" t="s">
        <v>65</v>
      </c>
      <c r="G538" t="s">
        <v>76</v>
      </c>
      <c r="H538" t="s">
        <v>126</v>
      </c>
      <c r="I538" t="s">
        <v>71</v>
      </c>
      <c r="J538" t="s">
        <v>375</v>
      </c>
      <c r="K538" t="s">
        <v>47</v>
      </c>
      <c r="L538" t="s">
        <v>55</v>
      </c>
      <c r="M538" t="s">
        <v>69</v>
      </c>
      <c r="N538" t="s">
        <v>36</v>
      </c>
      <c r="O538" s="3">
        <v>43.52</v>
      </c>
      <c r="P538">
        <v>9</v>
      </c>
      <c r="Q538" s="4">
        <v>0</v>
      </c>
      <c r="R538" s="3">
        <v>391.68</v>
      </c>
      <c r="S538" s="3">
        <v>21.75</v>
      </c>
      <c r="T538" s="3">
        <v>195.75</v>
      </c>
      <c r="U538" s="3">
        <v>195.93</v>
      </c>
      <c r="V538" s="5">
        <v>0.50022977941176472</v>
      </c>
      <c r="W538">
        <v>1</v>
      </c>
      <c r="X538" t="s">
        <v>37</v>
      </c>
      <c r="Y538" s="6">
        <v>5</v>
      </c>
    </row>
    <row r="539" spans="1:25">
      <c r="A539" t="s">
        <v>899</v>
      </c>
      <c r="B539" s="2">
        <v>45580</v>
      </c>
      <c r="C539">
        <v>2024</v>
      </c>
      <c r="D539" t="s">
        <v>488</v>
      </c>
      <c r="E539" t="s">
        <v>489</v>
      </c>
      <c r="F539" t="s">
        <v>39</v>
      </c>
      <c r="G539" t="s">
        <v>40</v>
      </c>
      <c r="H539" t="s">
        <v>41</v>
      </c>
      <c r="I539" t="s">
        <v>42</v>
      </c>
      <c r="J539" t="s">
        <v>119</v>
      </c>
      <c r="K539" t="s">
        <v>61</v>
      </c>
      <c r="L539" t="s">
        <v>84</v>
      </c>
      <c r="M539" t="s">
        <v>85</v>
      </c>
      <c r="N539" t="s">
        <v>44</v>
      </c>
      <c r="O539" s="3">
        <v>155.77000000000001</v>
      </c>
      <c r="P539">
        <v>3</v>
      </c>
      <c r="Q539" s="4">
        <v>0</v>
      </c>
      <c r="R539" s="3">
        <v>467.31000000000006</v>
      </c>
      <c r="S539" s="3">
        <v>73.209999999999994</v>
      </c>
      <c r="T539" s="3">
        <v>219.63</v>
      </c>
      <c r="U539" s="3">
        <v>247.68000000000006</v>
      </c>
      <c r="V539" s="5">
        <v>0.53001219747062989</v>
      </c>
      <c r="W539">
        <v>2</v>
      </c>
      <c r="X539" t="s">
        <v>37</v>
      </c>
      <c r="Y539" s="6">
        <v>5</v>
      </c>
    </row>
    <row r="540" spans="1:25">
      <c r="A540" t="s">
        <v>900</v>
      </c>
      <c r="B540" s="2">
        <v>45581</v>
      </c>
      <c r="C540">
        <v>2024</v>
      </c>
      <c r="D540" t="s">
        <v>488</v>
      </c>
      <c r="E540" t="s">
        <v>489</v>
      </c>
      <c r="F540" t="s">
        <v>65</v>
      </c>
      <c r="G540" t="s">
        <v>66</v>
      </c>
      <c r="H540" t="s">
        <v>67</v>
      </c>
      <c r="I540" t="s">
        <v>31</v>
      </c>
      <c r="J540" t="s">
        <v>812</v>
      </c>
      <c r="K540" t="s">
        <v>61</v>
      </c>
      <c r="L540" t="s">
        <v>62</v>
      </c>
      <c r="M540" t="s">
        <v>195</v>
      </c>
      <c r="N540" t="s">
        <v>57</v>
      </c>
      <c r="O540" s="3">
        <v>77.900000000000006</v>
      </c>
      <c r="P540">
        <v>4</v>
      </c>
      <c r="Q540" s="4">
        <v>0.1</v>
      </c>
      <c r="R540" s="3">
        <v>280.44000000000005</v>
      </c>
      <c r="S540" s="3">
        <v>32.31</v>
      </c>
      <c r="T540" s="3">
        <v>129.24</v>
      </c>
      <c r="U540" s="3">
        <v>151.20000000000005</v>
      </c>
      <c r="V540" s="5">
        <v>0.53915275994865219</v>
      </c>
      <c r="W540">
        <v>5</v>
      </c>
      <c r="X540" t="s">
        <v>37</v>
      </c>
      <c r="Y540" s="6">
        <v>4</v>
      </c>
    </row>
    <row r="541" spans="1:25">
      <c r="A541" t="s">
        <v>901</v>
      </c>
      <c r="B541" s="2">
        <v>45581</v>
      </c>
      <c r="C541">
        <v>2024</v>
      </c>
      <c r="D541" t="s">
        <v>488</v>
      </c>
      <c r="E541" t="s">
        <v>489</v>
      </c>
      <c r="F541" t="s">
        <v>39</v>
      </c>
      <c r="G541" t="s">
        <v>91</v>
      </c>
      <c r="H541" t="s">
        <v>92</v>
      </c>
      <c r="I541" t="s">
        <v>78</v>
      </c>
      <c r="J541" t="s">
        <v>93</v>
      </c>
      <c r="K541" t="s">
        <v>61</v>
      </c>
      <c r="L541" t="s">
        <v>62</v>
      </c>
      <c r="M541" t="s">
        <v>63</v>
      </c>
      <c r="N541" t="s">
        <v>36</v>
      </c>
      <c r="O541" s="3">
        <v>87.49</v>
      </c>
      <c r="P541">
        <v>5</v>
      </c>
      <c r="Q541" s="4">
        <v>0</v>
      </c>
      <c r="R541" s="3">
        <v>437.45</v>
      </c>
      <c r="S541" s="3">
        <v>44.68</v>
      </c>
      <c r="T541" s="3">
        <v>223.4</v>
      </c>
      <c r="U541" s="3">
        <v>214.04999999999998</v>
      </c>
      <c r="V541" s="5">
        <v>0.48931306435021144</v>
      </c>
      <c r="W541">
        <v>4</v>
      </c>
      <c r="X541" t="s">
        <v>37</v>
      </c>
      <c r="Y541" s="6">
        <v>4</v>
      </c>
    </row>
    <row r="542" spans="1:25">
      <c r="A542" t="s">
        <v>902</v>
      </c>
      <c r="B542" s="2">
        <v>45582</v>
      </c>
      <c r="C542">
        <v>2024</v>
      </c>
      <c r="D542" t="s">
        <v>488</v>
      </c>
      <c r="E542" t="s">
        <v>489</v>
      </c>
      <c r="F542" t="s">
        <v>28</v>
      </c>
      <c r="G542" t="s">
        <v>29</v>
      </c>
      <c r="H542" t="s">
        <v>106</v>
      </c>
      <c r="I542" t="s">
        <v>31</v>
      </c>
      <c r="J542" t="s">
        <v>797</v>
      </c>
      <c r="K542" t="s">
        <v>47</v>
      </c>
      <c r="L542" t="s">
        <v>55</v>
      </c>
      <c r="M542" t="s">
        <v>56</v>
      </c>
      <c r="N542" t="s">
        <v>57</v>
      </c>
      <c r="O542" s="3">
        <v>40.68</v>
      </c>
      <c r="P542">
        <v>2</v>
      </c>
      <c r="Q542" s="4">
        <v>0</v>
      </c>
      <c r="R542" s="3">
        <v>81.36</v>
      </c>
      <c r="S542" s="3">
        <v>17.420000000000002</v>
      </c>
      <c r="T542" s="3">
        <v>34.840000000000003</v>
      </c>
      <c r="U542" s="3">
        <v>46.519999999999996</v>
      </c>
      <c r="V542" s="5">
        <v>0.571779744346116</v>
      </c>
      <c r="W542">
        <v>2</v>
      </c>
      <c r="X542" t="s">
        <v>37</v>
      </c>
      <c r="Y542" s="6">
        <v>5</v>
      </c>
    </row>
    <row r="543" spans="1:25">
      <c r="A543" t="s">
        <v>903</v>
      </c>
      <c r="B543" s="2">
        <v>45582</v>
      </c>
      <c r="C543">
        <v>2024</v>
      </c>
      <c r="D543" t="s">
        <v>488</v>
      </c>
      <c r="E543" t="s">
        <v>489</v>
      </c>
      <c r="F543" t="s">
        <v>39</v>
      </c>
      <c r="G543" t="s">
        <v>91</v>
      </c>
      <c r="H543" t="s">
        <v>92</v>
      </c>
      <c r="I543" t="s">
        <v>42</v>
      </c>
      <c r="J543" t="s">
        <v>129</v>
      </c>
      <c r="K543" t="s">
        <v>47</v>
      </c>
      <c r="L543" t="s">
        <v>48</v>
      </c>
      <c r="M543" t="s">
        <v>104</v>
      </c>
      <c r="N543" t="s">
        <v>44</v>
      </c>
      <c r="O543" s="3">
        <v>51.67</v>
      </c>
      <c r="P543">
        <v>1</v>
      </c>
      <c r="Q543" s="4">
        <v>0</v>
      </c>
      <c r="R543" s="3">
        <v>51.67</v>
      </c>
      <c r="S543" s="3">
        <v>31.23</v>
      </c>
      <c r="T543" s="3">
        <v>31.23</v>
      </c>
      <c r="U543" s="3">
        <v>20.440000000000001</v>
      </c>
      <c r="V543" s="5">
        <v>0.3955873814592607</v>
      </c>
      <c r="W543">
        <v>1</v>
      </c>
      <c r="X543" t="s">
        <v>37</v>
      </c>
      <c r="Y543" s="6">
        <v>5</v>
      </c>
    </row>
    <row r="544" spans="1:25">
      <c r="A544" t="s">
        <v>904</v>
      </c>
      <c r="B544" s="2">
        <v>45585</v>
      </c>
      <c r="C544">
        <v>2024</v>
      </c>
      <c r="D544" t="s">
        <v>488</v>
      </c>
      <c r="E544" t="s">
        <v>489</v>
      </c>
      <c r="F544" t="s">
        <v>65</v>
      </c>
      <c r="G544" t="s">
        <v>76</v>
      </c>
      <c r="H544" t="s">
        <v>126</v>
      </c>
      <c r="I544" t="s">
        <v>71</v>
      </c>
      <c r="J544" t="s">
        <v>375</v>
      </c>
      <c r="K544" t="s">
        <v>61</v>
      </c>
      <c r="L544" t="s">
        <v>84</v>
      </c>
      <c r="M544" t="s">
        <v>135</v>
      </c>
      <c r="N544" t="s">
        <v>57</v>
      </c>
      <c r="O544" s="3">
        <v>900.33</v>
      </c>
      <c r="P544">
        <v>5</v>
      </c>
      <c r="Q544" s="4">
        <v>0.05</v>
      </c>
      <c r="R544" s="3">
        <v>4276.5675000000001</v>
      </c>
      <c r="S544" s="3">
        <v>577.32000000000005</v>
      </c>
      <c r="T544" s="3">
        <v>2886.6000000000004</v>
      </c>
      <c r="U544" s="3">
        <v>1389.9674999999997</v>
      </c>
      <c r="V544" s="5">
        <v>0.32501942270290363</v>
      </c>
      <c r="W544">
        <v>2</v>
      </c>
      <c r="X544" t="s">
        <v>37</v>
      </c>
      <c r="Y544" s="6">
        <v>5</v>
      </c>
    </row>
    <row r="545" spans="1:25">
      <c r="A545" t="s">
        <v>905</v>
      </c>
      <c r="B545" s="2">
        <v>45585</v>
      </c>
      <c r="C545">
        <v>2024</v>
      </c>
      <c r="D545" t="s">
        <v>488</v>
      </c>
      <c r="E545" t="s">
        <v>489</v>
      </c>
      <c r="F545" t="s">
        <v>39</v>
      </c>
      <c r="G545" t="s">
        <v>40</v>
      </c>
      <c r="H545" t="s">
        <v>41</v>
      </c>
      <c r="I545" t="s">
        <v>78</v>
      </c>
      <c r="J545" t="s">
        <v>906</v>
      </c>
      <c r="K545" t="s">
        <v>47</v>
      </c>
      <c r="L545" t="s">
        <v>55</v>
      </c>
      <c r="M545" t="s">
        <v>69</v>
      </c>
      <c r="N545" t="s">
        <v>44</v>
      </c>
      <c r="O545" s="3">
        <v>42.66</v>
      </c>
      <c r="P545">
        <v>4</v>
      </c>
      <c r="Q545" s="4">
        <v>0</v>
      </c>
      <c r="R545" s="3">
        <v>170.64</v>
      </c>
      <c r="S545" s="3">
        <v>22.28</v>
      </c>
      <c r="T545" s="3">
        <v>89.12</v>
      </c>
      <c r="U545" s="3">
        <v>81.519999999999982</v>
      </c>
      <c r="V545" s="5">
        <v>0.47773089545241437</v>
      </c>
      <c r="W545">
        <v>2</v>
      </c>
      <c r="X545" t="s">
        <v>37</v>
      </c>
      <c r="Y545" s="6">
        <v>5</v>
      </c>
    </row>
    <row r="546" spans="1:25">
      <c r="A546" t="s">
        <v>907</v>
      </c>
      <c r="B546" s="2">
        <v>45585</v>
      </c>
      <c r="C546">
        <v>2024</v>
      </c>
      <c r="D546" t="s">
        <v>488</v>
      </c>
      <c r="E546" t="s">
        <v>489</v>
      </c>
      <c r="F546" t="s">
        <v>28</v>
      </c>
      <c r="G546" t="s">
        <v>29</v>
      </c>
      <c r="H546" t="s">
        <v>106</v>
      </c>
      <c r="I546" t="s">
        <v>31</v>
      </c>
      <c r="J546" t="s">
        <v>379</v>
      </c>
      <c r="K546" t="s">
        <v>47</v>
      </c>
      <c r="L546" t="s">
        <v>55</v>
      </c>
      <c r="M546" t="s">
        <v>56</v>
      </c>
      <c r="N546" t="s">
        <v>44</v>
      </c>
      <c r="O546" s="3">
        <v>37.67</v>
      </c>
      <c r="P546">
        <v>6</v>
      </c>
      <c r="Q546" s="4">
        <v>0.2</v>
      </c>
      <c r="R546" s="3">
        <v>180.81600000000003</v>
      </c>
      <c r="S546" s="3">
        <v>17.170000000000002</v>
      </c>
      <c r="T546" s="3">
        <v>103.02000000000001</v>
      </c>
      <c r="U546" s="3">
        <v>77.796000000000021</v>
      </c>
      <c r="V546" s="5">
        <v>0.43024953543934169</v>
      </c>
      <c r="W546">
        <v>2</v>
      </c>
      <c r="X546" t="s">
        <v>37</v>
      </c>
      <c r="Y546" s="6">
        <v>5</v>
      </c>
    </row>
    <row r="547" spans="1:25">
      <c r="A547" t="s">
        <v>908</v>
      </c>
      <c r="B547" s="2">
        <v>45586</v>
      </c>
      <c r="C547">
        <v>2024</v>
      </c>
      <c r="D547" t="s">
        <v>488</v>
      </c>
      <c r="E547" t="s">
        <v>489</v>
      </c>
      <c r="F547" t="s">
        <v>51</v>
      </c>
      <c r="G547" t="s">
        <v>52</v>
      </c>
      <c r="H547" t="s">
        <v>53</v>
      </c>
      <c r="I547" t="s">
        <v>42</v>
      </c>
      <c r="J547" t="s">
        <v>439</v>
      </c>
      <c r="K547" t="s">
        <v>47</v>
      </c>
      <c r="L547" t="s">
        <v>114</v>
      </c>
      <c r="M547" t="s">
        <v>115</v>
      </c>
      <c r="N547" t="s">
        <v>44</v>
      </c>
      <c r="O547" s="3">
        <v>17.510000000000002</v>
      </c>
      <c r="P547">
        <v>1</v>
      </c>
      <c r="Q547" s="4">
        <v>0.2</v>
      </c>
      <c r="R547" s="3">
        <v>14.008000000000003</v>
      </c>
      <c r="S547" s="3">
        <v>6.91</v>
      </c>
      <c r="T547" s="3">
        <v>6.91</v>
      </c>
      <c r="U547" s="3">
        <v>7.0980000000000025</v>
      </c>
      <c r="V547" s="5">
        <v>0.50671045117075963</v>
      </c>
      <c r="W547">
        <v>9</v>
      </c>
      <c r="X547" t="s">
        <v>37</v>
      </c>
      <c r="Y547" s="6">
        <v>4</v>
      </c>
    </row>
    <row r="548" spans="1:25">
      <c r="A548" t="s">
        <v>909</v>
      </c>
      <c r="B548" s="2">
        <v>45586</v>
      </c>
      <c r="C548">
        <v>2024</v>
      </c>
      <c r="D548" t="s">
        <v>488</v>
      </c>
      <c r="E548" t="s">
        <v>489</v>
      </c>
      <c r="F548" t="s">
        <v>65</v>
      </c>
      <c r="G548" t="s">
        <v>76</v>
      </c>
      <c r="H548" t="s">
        <v>77</v>
      </c>
      <c r="I548" t="s">
        <v>31</v>
      </c>
      <c r="J548" t="s">
        <v>690</v>
      </c>
      <c r="K548" t="s">
        <v>47</v>
      </c>
      <c r="L548" t="s">
        <v>114</v>
      </c>
      <c r="M548" t="s">
        <v>120</v>
      </c>
      <c r="N548" t="s">
        <v>57</v>
      </c>
      <c r="O548" s="3">
        <v>25.68</v>
      </c>
      <c r="P548">
        <v>2</v>
      </c>
      <c r="Q548" s="4">
        <v>0</v>
      </c>
      <c r="R548" s="3">
        <v>51.36</v>
      </c>
      <c r="S548" s="3">
        <v>11.04</v>
      </c>
      <c r="T548" s="3">
        <v>22.08</v>
      </c>
      <c r="U548" s="3">
        <v>29.28</v>
      </c>
      <c r="V548" s="5">
        <v>0.5700934579439253</v>
      </c>
      <c r="W548">
        <v>1</v>
      </c>
      <c r="X548" t="s">
        <v>37</v>
      </c>
      <c r="Y548" s="6">
        <v>5</v>
      </c>
    </row>
    <row r="549" spans="1:25">
      <c r="A549" t="s">
        <v>910</v>
      </c>
      <c r="B549" s="2">
        <v>45587</v>
      </c>
      <c r="C549">
        <v>2024</v>
      </c>
      <c r="D549" t="s">
        <v>488</v>
      </c>
      <c r="E549" t="s">
        <v>489</v>
      </c>
      <c r="F549" t="s">
        <v>28</v>
      </c>
      <c r="G549" t="s">
        <v>29</v>
      </c>
      <c r="H549" t="s">
        <v>60</v>
      </c>
      <c r="I549" t="s">
        <v>42</v>
      </c>
      <c r="J549" t="s">
        <v>911</v>
      </c>
      <c r="K549" t="s">
        <v>33</v>
      </c>
      <c r="L549" t="s">
        <v>73</v>
      </c>
      <c r="M549" t="s">
        <v>138</v>
      </c>
      <c r="N549" t="s">
        <v>44</v>
      </c>
      <c r="O549" s="3">
        <v>325.60000000000002</v>
      </c>
      <c r="P549">
        <v>5</v>
      </c>
      <c r="Q549" s="4">
        <v>0.15</v>
      </c>
      <c r="R549" s="3">
        <v>1383.8</v>
      </c>
      <c r="S549" s="3">
        <v>179.15</v>
      </c>
      <c r="T549" s="3">
        <v>895.75</v>
      </c>
      <c r="U549" s="3">
        <v>488.04999999999995</v>
      </c>
      <c r="V549" s="5">
        <v>0.35268824974707325</v>
      </c>
      <c r="W549">
        <v>6</v>
      </c>
      <c r="X549" t="s">
        <v>37</v>
      </c>
      <c r="Y549" s="6">
        <v>4</v>
      </c>
    </row>
    <row r="550" spans="1:25">
      <c r="A550" t="s">
        <v>912</v>
      </c>
      <c r="B550" s="2">
        <v>45591</v>
      </c>
      <c r="C550">
        <v>2024</v>
      </c>
      <c r="D550" t="s">
        <v>488</v>
      </c>
      <c r="E550" t="s">
        <v>489</v>
      </c>
      <c r="F550" t="s">
        <v>39</v>
      </c>
      <c r="G550" t="s">
        <v>40</v>
      </c>
      <c r="H550" t="s">
        <v>41</v>
      </c>
      <c r="I550" t="s">
        <v>71</v>
      </c>
      <c r="J550" t="s">
        <v>129</v>
      </c>
      <c r="K550" t="s">
        <v>47</v>
      </c>
      <c r="L550" t="s">
        <v>48</v>
      </c>
      <c r="M550" t="s">
        <v>49</v>
      </c>
      <c r="N550" t="s">
        <v>36</v>
      </c>
      <c r="O550" s="3">
        <v>32.93</v>
      </c>
      <c r="P550">
        <v>10</v>
      </c>
      <c r="Q550" s="4">
        <v>0</v>
      </c>
      <c r="R550" s="3">
        <v>329.3</v>
      </c>
      <c r="S550" s="3">
        <v>14.41</v>
      </c>
      <c r="T550" s="3">
        <v>144.1</v>
      </c>
      <c r="U550" s="3">
        <v>185.20000000000002</v>
      </c>
      <c r="V550" s="5">
        <v>0.56240510173094449</v>
      </c>
      <c r="W550">
        <v>1</v>
      </c>
      <c r="X550" t="s">
        <v>37</v>
      </c>
      <c r="Y550" s="6">
        <v>5</v>
      </c>
    </row>
    <row r="551" spans="1:25">
      <c r="A551" t="s">
        <v>913</v>
      </c>
      <c r="B551" s="2">
        <v>45591</v>
      </c>
      <c r="C551">
        <v>2024</v>
      </c>
      <c r="D551" t="s">
        <v>488</v>
      </c>
      <c r="E551" t="s">
        <v>489</v>
      </c>
      <c r="F551" t="s">
        <v>65</v>
      </c>
      <c r="G551" t="s">
        <v>76</v>
      </c>
      <c r="H551" t="s">
        <v>126</v>
      </c>
      <c r="I551" t="s">
        <v>31</v>
      </c>
      <c r="J551" t="s">
        <v>397</v>
      </c>
      <c r="K551" t="s">
        <v>47</v>
      </c>
      <c r="L551" t="s">
        <v>48</v>
      </c>
      <c r="M551" t="s">
        <v>49</v>
      </c>
      <c r="N551" t="s">
        <v>44</v>
      </c>
      <c r="O551" s="3">
        <v>31.66</v>
      </c>
      <c r="P551">
        <v>6</v>
      </c>
      <c r="Q551" s="4">
        <v>0.2</v>
      </c>
      <c r="R551" s="3">
        <v>151.96800000000002</v>
      </c>
      <c r="S551" s="3">
        <v>13.78</v>
      </c>
      <c r="T551" s="3">
        <v>82.679999999999993</v>
      </c>
      <c r="U551" s="3">
        <v>69.288000000000025</v>
      </c>
      <c r="V551" s="5">
        <v>0.45593809222994325</v>
      </c>
      <c r="W551">
        <v>2</v>
      </c>
      <c r="X551" t="s">
        <v>37</v>
      </c>
      <c r="Y551" s="6">
        <v>5</v>
      </c>
    </row>
    <row r="552" spans="1:25">
      <c r="A552" t="s">
        <v>914</v>
      </c>
      <c r="B552" s="2">
        <v>45591</v>
      </c>
      <c r="C552">
        <v>2024</v>
      </c>
      <c r="D552" t="s">
        <v>488</v>
      </c>
      <c r="E552" t="s">
        <v>489</v>
      </c>
      <c r="F552" t="s">
        <v>28</v>
      </c>
      <c r="G552" t="s">
        <v>29</v>
      </c>
      <c r="H552" t="s">
        <v>106</v>
      </c>
      <c r="I552" t="s">
        <v>71</v>
      </c>
      <c r="J552" t="s">
        <v>211</v>
      </c>
      <c r="K552" t="s">
        <v>61</v>
      </c>
      <c r="L552" t="s">
        <v>62</v>
      </c>
      <c r="M552" t="s">
        <v>63</v>
      </c>
      <c r="N552" t="s">
        <v>36</v>
      </c>
      <c r="O552" s="3">
        <v>84.8</v>
      </c>
      <c r="P552">
        <v>2</v>
      </c>
      <c r="Q552" s="4">
        <v>0</v>
      </c>
      <c r="R552" s="3">
        <v>169.6</v>
      </c>
      <c r="S552" s="3">
        <v>44.1</v>
      </c>
      <c r="T552" s="3">
        <v>88.2</v>
      </c>
      <c r="U552" s="3">
        <v>81.399999999999991</v>
      </c>
      <c r="V552" s="5">
        <v>0.47995283018867924</v>
      </c>
      <c r="W552">
        <v>4</v>
      </c>
      <c r="X552" t="s">
        <v>37</v>
      </c>
      <c r="Y552" s="6">
        <v>5</v>
      </c>
    </row>
    <row r="553" spans="1:25">
      <c r="A553" t="s">
        <v>915</v>
      </c>
      <c r="B553" s="2">
        <v>45591</v>
      </c>
      <c r="C553">
        <v>2024</v>
      </c>
      <c r="D553" t="s">
        <v>488</v>
      </c>
      <c r="E553" t="s">
        <v>489</v>
      </c>
      <c r="F553" t="s">
        <v>65</v>
      </c>
      <c r="G553" t="s">
        <v>76</v>
      </c>
      <c r="H553" t="s">
        <v>77</v>
      </c>
      <c r="I553" t="s">
        <v>42</v>
      </c>
      <c r="J553" t="s">
        <v>207</v>
      </c>
      <c r="K553" t="s">
        <v>33</v>
      </c>
      <c r="L553" t="s">
        <v>88</v>
      </c>
      <c r="M553" t="s">
        <v>89</v>
      </c>
      <c r="N553" t="s">
        <v>57</v>
      </c>
      <c r="O553" s="3">
        <v>238.99</v>
      </c>
      <c r="P553">
        <v>2</v>
      </c>
      <c r="Q553" s="4">
        <v>0.2</v>
      </c>
      <c r="R553" s="3">
        <v>382.38400000000001</v>
      </c>
      <c r="S553" s="3">
        <v>126.41</v>
      </c>
      <c r="T553" s="3">
        <v>252.82</v>
      </c>
      <c r="U553" s="3">
        <v>129.56400000000002</v>
      </c>
      <c r="V553" s="5">
        <v>0.33883216870998789</v>
      </c>
      <c r="W553">
        <v>1</v>
      </c>
      <c r="X553" t="s">
        <v>37</v>
      </c>
      <c r="Y553" s="6">
        <v>5</v>
      </c>
    </row>
    <row r="554" spans="1:25">
      <c r="A554" t="s">
        <v>916</v>
      </c>
      <c r="B554" s="2">
        <v>45594</v>
      </c>
      <c r="C554">
        <v>2024</v>
      </c>
      <c r="D554" t="s">
        <v>488</v>
      </c>
      <c r="E554" t="s">
        <v>489</v>
      </c>
      <c r="F554" t="s">
        <v>65</v>
      </c>
      <c r="G554" t="s">
        <v>76</v>
      </c>
      <c r="H554" t="s">
        <v>126</v>
      </c>
      <c r="I554" t="s">
        <v>31</v>
      </c>
      <c r="J554" t="s">
        <v>508</v>
      </c>
      <c r="K554" t="s">
        <v>47</v>
      </c>
      <c r="L554" t="s">
        <v>114</v>
      </c>
      <c r="M554" t="s">
        <v>120</v>
      </c>
      <c r="N554" t="s">
        <v>44</v>
      </c>
      <c r="O554" s="3">
        <v>25.52</v>
      </c>
      <c r="P554">
        <v>8</v>
      </c>
      <c r="Q554" s="4">
        <v>0</v>
      </c>
      <c r="R554" s="3">
        <v>204.16</v>
      </c>
      <c r="S554" s="3">
        <v>10.93</v>
      </c>
      <c r="T554" s="3">
        <v>87.44</v>
      </c>
      <c r="U554" s="3">
        <v>116.72</v>
      </c>
      <c r="V554" s="5">
        <v>0.57170846394984332</v>
      </c>
      <c r="W554">
        <v>7</v>
      </c>
      <c r="X554" t="s">
        <v>37</v>
      </c>
      <c r="Y554" s="6">
        <v>4</v>
      </c>
    </row>
    <row r="555" spans="1:25">
      <c r="A555" t="s">
        <v>917</v>
      </c>
      <c r="B555" s="2">
        <v>45596</v>
      </c>
      <c r="C555">
        <v>2024</v>
      </c>
      <c r="D555" t="s">
        <v>488</v>
      </c>
      <c r="E555" t="s">
        <v>489</v>
      </c>
      <c r="F555" t="s">
        <v>51</v>
      </c>
      <c r="G555" t="s">
        <v>52</v>
      </c>
      <c r="H555" t="s">
        <v>53</v>
      </c>
      <c r="I555" t="s">
        <v>31</v>
      </c>
      <c r="J555" t="s">
        <v>436</v>
      </c>
      <c r="K555" t="s">
        <v>47</v>
      </c>
      <c r="L555" t="s">
        <v>55</v>
      </c>
      <c r="M555" t="s">
        <v>69</v>
      </c>
      <c r="N555" t="s">
        <v>44</v>
      </c>
      <c r="O555" s="3">
        <v>43.02</v>
      </c>
      <c r="P555">
        <v>5</v>
      </c>
      <c r="Q555" s="4">
        <v>0.15</v>
      </c>
      <c r="R555" s="3">
        <v>182.83500000000001</v>
      </c>
      <c r="S555" s="3">
        <v>22.11</v>
      </c>
      <c r="T555" s="3">
        <v>110.55</v>
      </c>
      <c r="U555" s="3">
        <v>72.285000000000011</v>
      </c>
      <c r="V555" s="5">
        <v>0.39535646894741167</v>
      </c>
      <c r="W555">
        <v>8</v>
      </c>
      <c r="X555" t="s">
        <v>37</v>
      </c>
      <c r="Y555" s="6">
        <v>4</v>
      </c>
    </row>
    <row r="556" spans="1:25">
      <c r="A556" t="s">
        <v>918</v>
      </c>
      <c r="B556" s="2">
        <v>45598</v>
      </c>
      <c r="C556">
        <v>2024</v>
      </c>
      <c r="D556" t="s">
        <v>488</v>
      </c>
      <c r="E556" t="s">
        <v>519</v>
      </c>
      <c r="F556" t="s">
        <v>65</v>
      </c>
      <c r="G556" t="s">
        <v>76</v>
      </c>
      <c r="H556" t="s">
        <v>77</v>
      </c>
      <c r="I556" t="s">
        <v>78</v>
      </c>
      <c r="J556" t="s">
        <v>766</v>
      </c>
      <c r="K556" t="s">
        <v>33</v>
      </c>
      <c r="L556" t="s">
        <v>73</v>
      </c>
      <c r="M556" t="s">
        <v>138</v>
      </c>
      <c r="N556" t="s">
        <v>36</v>
      </c>
      <c r="O556" s="3">
        <v>337.4</v>
      </c>
      <c r="P556">
        <v>1</v>
      </c>
      <c r="Q556" s="4">
        <v>0.1</v>
      </c>
      <c r="R556" s="3">
        <v>303.65999999999997</v>
      </c>
      <c r="S556" s="3">
        <v>172.76</v>
      </c>
      <c r="T556" s="3">
        <v>172.76</v>
      </c>
      <c r="U556" s="3">
        <v>130.89999999999998</v>
      </c>
      <c r="V556" s="5">
        <v>0.43107422775472565</v>
      </c>
      <c r="W556">
        <v>4</v>
      </c>
      <c r="X556" t="s">
        <v>37</v>
      </c>
      <c r="Y556" s="6">
        <v>4</v>
      </c>
    </row>
    <row r="557" spans="1:25">
      <c r="A557" t="s">
        <v>919</v>
      </c>
      <c r="B557" s="2">
        <v>45598</v>
      </c>
      <c r="C557">
        <v>2024</v>
      </c>
      <c r="D557" t="s">
        <v>488</v>
      </c>
      <c r="E557" t="s">
        <v>519</v>
      </c>
      <c r="F557" t="s">
        <v>65</v>
      </c>
      <c r="G557" t="s">
        <v>76</v>
      </c>
      <c r="H557" t="s">
        <v>77</v>
      </c>
      <c r="I557" t="s">
        <v>71</v>
      </c>
      <c r="J557" t="s">
        <v>695</v>
      </c>
      <c r="K557" t="s">
        <v>61</v>
      </c>
      <c r="L557" t="s">
        <v>62</v>
      </c>
      <c r="M557" t="s">
        <v>63</v>
      </c>
      <c r="N557" t="s">
        <v>44</v>
      </c>
      <c r="O557" s="3">
        <v>87.28</v>
      </c>
      <c r="P557">
        <v>4</v>
      </c>
      <c r="Q557" s="4">
        <v>0.15</v>
      </c>
      <c r="R557" s="3">
        <v>296.75200000000001</v>
      </c>
      <c r="S557" s="3">
        <v>43.34</v>
      </c>
      <c r="T557" s="3">
        <v>173.36</v>
      </c>
      <c r="U557" s="3">
        <v>123.392</v>
      </c>
      <c r="V557" s="5">
        <v>0.41580848654768965</v>
      </c>
      <c r="W557">
        <v>5</v>
      </c>
      <c r="X557" t="s">
        <v>58</v>
      </c>
      <c r="Y557" s="6">
        <v>3</v>
      </c>
    </row>
    <row r="558" spans="1:25">
      <c r="A558" t="s">
        <v>920</v>
      </c>
      <c r="B558" s="2">
        <v>45602</v>
      </c>
      <c r="C558">
        <v>2024</v>
      </c>
      <c r="D558" t="s">
        <v>488</v>
      </c>
      <c r="E558" t="s">
        <v>519</v>
      </c>
      <c r="F558" t="s">
        <v>39</v>
      </c>
      <c r="G558" t="s">
        <v>111</v>
      </c>
      <c r="H558" t="s">
        <v>112</v>
      </c>
      <c r="I558" t="s">
        <v>31</v>
      </c>
      <c r="J558" t="s">
        <v>217</v>
      </c>
      <c r="K558" t="s">
        <v>61</v>
      </c>
      <c r="L558" t="s">
        <v>84</v>
      </c>
      <c r="M558" t="s">
        <v>135</v>
      </c>
      <c r="N558" t="s">
        <v>44</v>
      </c>
      <c r="O558" s="3">
        <v>866.58</v>
      </c>
      <c r="P558">
        <v>3</v>
      </c>
      <c r="Q558" s="4">
        <v>0.2</v>
      </c>
      <c r="R558" s="3">
        <v>2079.7920000000004</v>
      </c>
      <c r="S558" s="3">
        <v>578.99</v>
      </c>
      <c r="T558" s="3">
        <v>1736.97</v>
      </c>
      <c r="U558" s="3">
        <v>342.82200000000034</v>
      </c>
      <c r="V558" s="5">
        <v>0.16483475270603998</v>
      </c>
      <c r="W558">
        <v>7</v>
      </c>
      <c r="X558" t="s">
        <v>37</v>
      </c>
      <c r="Y558" s="6">
        <v>4</v>
      </c>
    </row>
    <row r="559" spans="1:25">
      <c r="A559" t="s">
        <v>921</v>
      </c>
      <c r="B559" s="2">
        <v>45602</v>
      </c>
      <c r="C559">
        <v>2024</v>
      </c>
      <c r="D559" t="s">
        <v>488</v>
      </c>
      <c r="E559" t="s">
        <v>519</v>
      </c>
      <c r="F559" t="s">
        <v>51</v>
      </c>
      <c r="G559" t="s">
        <v>97</v>
      </c>
      <c r="H559" t="s">
        <v>98</v>
      </c>
      <c r="I559" t="s">
        <v>42</v>
      </c>
      <c r="J559" t="s">
        <v>199</v>
      </c>
      <c r="K559" t="s">
        <v>33</v>
      </c>
      <c r="L559" t="s">
        <v>34</v>
      </c>
      <c r="M559" t="s">
        <v>35</v>
      </c>
      <c r="N559" t="s">
        <v>44</v>
      </c>
      <c r="O559" s="3">
        <v>177.42</v>
      </c>
      <c r="P559">
        <v>4</v>
      </c>
      <c r="Q559" s="4">
        <v>0.15</v>
      </c>
      <c r="R559" s="3">
        <v>603.22799999999995</v>
      </c>
      <c r="S559" s="3">
        <v>94.49</v>
      </c>
      <c r="T559" s="3">
        <v>377.96</v>
      </c>
      <c r="U559" s="3">
        <v>225.26799999999997</v>
      </c>
      <c r="V559" s="5">
        <v>0.37343757252647419</v>
      </c>
      <c r="W559">
        <v>1</v>
      </c>
      <c r="X559" t="s">
        <v>58</v>
      </c>
      <c r="Y559" s="6">
        <v>4</v>
      </c>
    </row>
    <row r="560" spans="1:25">
      <c r="A560" t="s">
        <v>922</v>
      </c>
      <c r="B560" s="2">
        <v>45602</v>
      </c>
      <c r="C560">
        <v>2024</v>
      </c>
      <c r="D560" t="s">
        <v>488</v>
      </c>
      <c r="E560" t="s">
        <v>519</v>
      </c>
      <c r="F560" t="s">
        <v>39</v>
      </c>
      <c r="G560" t="s">
        <v>111</v>
      </c>
      <c r="H560" t="s">
        <v>112</v>
      </c>
      <c r="I560" t="s">
        <v>42</v>
      </c>
      <c r="J560" t="s">
        <v>46</v>
      </c>
      <c r="K560" t="s">
        <v>33</v>
      </c>
      <c r="L560" t="s">
        <v>88</v>
      </c>
      <c r="M560" t="s">
        <v>100</v>
      </c>
      <c r="N560" t="s">
        <v>44</v>
      </c>
      <c r="O560" s="3">
        <v>313.22000000000003</v>
      </c>
      <c r="P560">
        <v>5</v>
      </c>
      <c r="Q560" s="4">
        <v>0</v>
      </c>
      <c r="R560" s="3">
        <v>1566.1000000000001</v>
      </c>
      <c r="S560" s="3">
        <v>151.69999999999999</v>
      </c>
      <c r="T560" s="3">
        <v>758.5</v>
      </c>
      <c r="U560" s="3">
        <v>807.60000000000014</v>
      </c>
      <c r="V560" s="5">
        <v>0.51567588276610699</v>
      </c>
      <c r="W560">
        <v>6</v>
      </c>
      <c r="X560" t="s">
        <v>37</v>
      </c>
      <c r="Y560" s="6">
        <v>4</v>
      </c>
    </row>
    <row r="561" spans="1:25">
      <c r="A561" t="s">
        <v>923</v>
      </c>
      <c r="B561" s="2">
        <v>45603</v>
      </c>
      <c r="C561">
        <v>2024</v>
      </c>
      <c r="D561" t="s">
        <v>488</v>
      </c>
      <c r="E561" t="s">
        <v>519</v>
      </c>
      <c r="F561" t="s">
        <v>39</v>
      </c>
      <c r="G561" t="s">
        <v>40</v>
      </c>
      <c r="H561" t="s">
        <v>41</v>
      </c>
      <c r="I561" t="s">
        <v>42</v>
      </c>
      <c r="J561" t="s">
        <v>144</v>
      </c>
      <c r="K561" t="s">
        <v>61</v>
      </c>
      <c r="L561" t="s">
        <v>62</v>
      </c>
      <c r="M561" t="s">
        <v>195</v>
      </c>
      <c r="N561" t="s">
        <v>57</v>
      </c>
      <c r="O561" s="3">
        <v>71.64</v>
      </c>
      <c r="P561">
        <v>3</v>
      </c>
      <c r="Q561" s="4">
        <v>0</v>
      </c>
      <c r="R561" s="3">
        <v>214.92000000000002</v>
      </c>
      <c r="S561" s="3">
        <v>32.36</v>
      </c>
      <c r="T561" s="3">
        <v>97.08</v>
      </c>
      <c r="U561" s="3">
        <v>117.84000000000002</v>
      </c>
      <c r="V561" s="5">
        <v>0.54829704075935237</v>
      </c>
      <c r="W561">
        <v>4</v>
      </c>
      <c r="X561" t="s">
        <v>37</v>
      </c>
      <c r="Y561" s="6">
        <v>4</v>
      </c>
    </row>
    <row r="562" spans="1:25">
      <c r="A562" t="s">
        <v>924</v>
      </c>
      <c r="B562" s="2">
        <v>45606</v>
      </c>
      <c r="C562">
        <v>2024</v>
      </c>
      <c r="D562" t="s">
        <v>488</v>
      </c>
      <c r="E562" t="s">
        <v>519</v>
      </c>
      <c r="F562" t="s">
        <v>39</v>
      </c>
      <c r="G562" t="s">
        <v>111</v>
      </c>
      <c r="H562" t="s">
        <v>112</v>
      </c>
      <c r="I562" t="s">
        <v>71</v>
      </c>
      <c r="J562" t="s">
        <v>925</v>
      </c>
      <c r="K562" t="s">
        <v>47</v>
      </c>
      <c r="L562" t="s">
        <v>55</v>
      </c>
      <c r="M562" t="s">
        <v>56</v>
      </c>
      <c r="N562" t="s">
        <v>44</v>
      </c>
      <c r="O562" s="3">
        <v>38.83</v>
      </c>
      <c r="P562">
        <v>12</v>
      </c>
      <c r="Q562" s="4">
        <v>0</v>
      </c>
      <c r="R562" s="3">
        <v>465.96</v>
      </c>
      <c r="S562" s="3">
        <v>16.93</v>
      </c>
      <c r="T562" s="3">
        <v>203.16</v>
      </c>
      <c r="U562" s="3">
        <v>262.79999999999995</v>
      </c>
      <c r="V562" s="5">
        <v>0.56399690960597471</v>
      </c>
      <c r="W562">
        <v>2</v>
      </c>
      <c r="X562" t="s">
        <v>37</v>
      </c>
      <c r="Y562" s="6">
        <v>5</v>
      </c>
    </row>
    <row r="563" spans="1:25">
      <c r="A563" t="s">
        <v>926</v>
      </c>
      <c r="B563" s="2">
        <v>45606</v>
      </c>
      <c r="C563">
        <v>2024</v>
      </c>
      <c r="D563" t="s">
        <v>488</v>
      </c>
      <c r="E563" t="s">
        <v>519</v>
      </c>
      <c r="F563" t="s">
        <v>39</v>
      </c>
      <c r="G563" t="s">
        <v>40</v>
      </c>
      <c r="H563" t="s">
        <v>41</v>
      </c>
      <c r="I563" t="s">
        <v>42</v>
      </c>
      <c r="J563" t="s">
        <v>460</v>
      </c>
      <c r="K563" t="s">
        <v>47</v>
      </c>
      <c r="L563" t="s">
        <v>55</v>
      </c>
      <c r="M563" t="s">
        <v>56</v>
      </c>
      <c r="N563" t="s">
        <v>36</v>
      </c>
      <c r="O563" s="3">
        <v>39.74</v>
      </c>
      <c r="P563">
        <v>9</v>
      </c>
      <c r="Q563" s="4">
        <v>0</v>
      </c>
      <c r="R563" s="3">
        <v>357.66</v>
      </c>
      <c r="S563" s="3">
        <v>17.440000000000001</v>
      </c>
      <c r="T563" s="3">
        <v>156.96</v>
      </c>
      <c r="U563" s="3">
        <v>200.70000000000002</v>
      </c>
      <c r="V563" s="5">
        <v>0.56114745848012082</v>
      </c>
      <c r="W563">
        <v>3</v>
      </c>
      <c r="X563" t="s">
        <v>37</v>
      </c>
      <c r="Y563" s="6">
        <v>5</v>
      </c>
    </row>
    <row r="564" spans="1:25">
      <c r="A564" t="s">
        <v>927</v>
      </c>
      <c r="B564" s="2">
        <v>45611</v>
      </c>
      <c r="C564">
        <v>2024</v>
      </c>
      <c r="D564" t="s">
        <v>488</v>
      </c>
      <c r="E564" t="s">
        <v>519</v>
      </c>
      <c r="F564" t="s">
        <v>28</v>
      </c>
      <c r="G564" t="s">
        <v>29</v>
      </c>
      <c r="H564" t="s">
        <v>106</v>
      </c>
      <c r="I564" t="s">
        <v>71</v>
      </c>
      <c r="J564" t="s">
        <v>510</v>
      </c>
      <c r="K564" t="s">
        <v>61</v>
      </c>
      <c r="L564" t="s">
        <v>84</v>
      </c>
      <c r="M564" t="s">
        <v>135</v>
      </c>
      <c r="N564" t="s">
        <v>44</v>
      </c>
      <c r="O564" s="3">
        <v>897.19</v>
      </c>
      <c r="P564">
        <v>5</v>
      </c>
      <c r="Q564" s="4">
        <v>0.1</v>
      </c>
      <c r="R564" s="3">
        <v>4037.3550000000009</v>
      </c>
      <c r="S564" s="3">
        <v>559.99</v>
      </c>
      <c r="T564" s="3">
        <v>2799.95</v>
      </c>
      <c r="U564" s="3">
        <v>1237.4050000000011</v>
      </c>
      <c r="V564" s="5">
        <v>0.30648902561206554</v>
      </c>
      <c r="W564">
        <v>3</v>
      </c>
      <c r="X564" t="s">
        <v>58</v>
      </c>
      <c r="Y564" s="6">
        <v>4</v>
      </c>
    </row>
    <row r="565" spans="1:25">
      <c r="A565" t="s">
        <v>928</v>
      </c>
      <c r="B565" s="2">
        <v>45611</v>
      </c>
      <c r="C565">
        <v>2024</v>
      </c>
      <c r="D565" t="s">
        <v>488</v>
      </c>
      <c r="E565" t="s">
        <v>519</v>
      </c>
      <c r="F565" t="s">
        <v>65</v>
      </c>
      <c r="G565" t="s">
        <v>76</v>
      </c>
      <c r="H565" t="s">
        <v>126</v>
      </c>
      <c r="I565" t="s">
        <v>78</v>
      </c>
      <c r="J565" t="s">
        <v>103</v>
      </c>
      <c r="K565" t="s">
        <v>47</v>
      </c>
      <c r="L565" t="s">
        <v>55</v>
      </c>
      <c r="M565" t="s">
        <v>69</v>
      </c>
      <c r="N565" t="s">
        <v>36</v>
      </c>
      <c r="O565" s="3">
        <v>44.88</v>
      </c>
      <c r="P565">
        <v>6</v>
      </c>
      <c r="Q565" s="4">
        <v>0</v>
      </c>
      <c r="R565" s="3">
        <v>269.28000000000003</v>
      </c>
      <c r="S565" s="3">
        <v>22.61</v>
      </c>
      <c r="T565" s="3">
        <v>135.66</v>
      </c>
      <c r="U565" s="3">
        <v>133.62000000000003</v>
      </c>
      <c r="V565" s="5">
        <v>0.49621212121212127</v>
      </c>
      <c r="W565">
        <v>5</v>
      </c>
      <c r="X565" t="s">
        <v>37</v>
      </c>
      <c r="Y565" s="6">
        <v>4</v>
      </c>
    </row>
    <row r="566" spans="1:25">
      <c r="A566" t="s">
        <v>929</v>
      </c>
      <c r="B566" s="2">
        <v>45611</v>
      </c>
      <c r="C566">
        <v>2024</v>
      </c>
      <c r="D566" t="s">
        <v>488</v>
      </c>
      <c r="E566" t="s">
        <v>519</v>
      </c>
      <c r="F566" t="s">
        <v>51</v>
      </c>
      <c r="G566" t="s">
        <v>97</v>
      </c>
      <c r="H566" t="s">
        <v>98</v>
      </c>
      <c r="I566" t="s">
        <v>42</v>
      </c>
      <c r="J566" t="s">
        <v>189</v>
      </c>
      <c r="K566" t="s">
        <v>61</v>
      </c>
      <c r="L566" t="s">
        <v>62</v>
      </c>
      <c r="M566" t="s">
        <v>195</v>
      </c>
      <c r="N566" t="s">
        <v>44</v>
      </c>
      <c r="O566" s="3">
        <v>71.97</v>
      </c>
      <c r="P566">
        <v>5</v>
      </c>
      <c r="Q566" s="4">
        <v>0</v>
      </c>
      <c r="R566" s="3">
        <v>359.85</v>
      </c>
      <c r="S566" s="3">
        <v>32.86</v>
      </c>
      <c r="T566" s="3">
        <v>164.3</v>
      </c>
      <c r="U566" s="3">
        <v>195.55</v>
      </c>
      <c r="V566" s="5">
        <v>0.54342086980686399</v>
      </c>
      <c r="W566">
        <v>2</v>
      </c>
      <c r="X566" t="s">
        <v>37</v>
      </c>
      <c r="Y566" s="6">
        <v>5</v>
      </c>
    </row>
    <row r="567" spans="1:25">
      <c r="A567" t="s">
        <v>930</v>
      </c>
      <c r="B567" s="2">
        <v>45612</v>
      </c>
      <c r="C567">
        <v>2024</v>
      </c>
      <c r="D567" t="s">
        <v>488</v>
      </c>
      <c r="E567" t="s">
        <v>519</v>
      </c>
      <c r="F567" t="s">
        <v>39</v>
      </c>
      <c r="G567" t="s">
        <v>40</v>
      </c>
      <c r="H567" t="s">
        <v>41</v>
      </c>
      <c r="I567" t="s">
        <v>31</v>
      </c>
      <c r="J567" t="s">
        <v>402</v>
      </c>
      <c r="K567" t="s">
        <v>33</v>
      </c>
      <c r="L567" t="s">
        <v>34</v>
      </c>
      <c r="M567" t="s">
        <v>35</v>
      </c>
      <c r="N567" t="s">
        <v>57</v>
      </c>
      <c r="O567" s="3">
        <v>177.93</v>
      </c>
      <c r="P567">
        <v>1</v>
      </c>
      <c r="Q567" s="4">
        <v>0.05</v>
      </c>
      <c r="R567" s="3">
        <v>169.0335</v>
      </c>
      <c r="S567" s="3">
        <v>91.89</v>
      </c>
      <c r="T567" s="3">
        <v>91.89</v>
      </c>
      <c r="U567" s="3">
        <v>77.143500000000003</v>
      </c>
      <c r="V567" s="5">
        <v>0.45637994835343293</v>
      </c>
      <c r="W567">
        <v>4</v>
      </c>
      <c r="X567" t="s">
        <v>37</v>
      </c>
      <c r="Y567" s="6">
        <v>5</v>
      </c>
    </row>
    <row r="568" spans="1:25">
      <c r="A568" t="s">
        <v>931</v>
      </c>
      <c r="B568" s="2">
        <v>45616</v>
      </c>
      <c r="C568">
        <v>2024</v>
      </c>
      <c r="D568" t="s">
        <v>488</v>
      </c>
      <c r="E568" t="s">
        <v>519</v>
      </c>
      <c r="F568" t="s">
        <v>39</v>
      </c>
      <c r="G568" t="s">
        <v>40</v>
      </c>
      <c r="H568" t="s">
        <v>41</v>
      </c>
      <c r="I568" t="s">
        <v>31</v>
      </c>
      <c r="J568" t="s">
        <v>333</v>
      </c>
      <c r="K568" t="s">
        <v>47</v>
      </c>
      <c r="L568" t="s">
        <v>48</v>
      </c>
      <c r="M568" t="s">
        <v>104</v>
      </c>
      <c r="N568" t="s">
        <v>36</v>
      </c>
      <c r="O568" s="3">
        <v>53.12</v>
      </c>
      <c r="P568">
        <v>5</v>
      </c>
      <c r="Q568" s="4">
        <v>0.1</v>
      </c>
      <c r="R568" s="3">
        <v>239.03999999999996</v>
      </c>
      <c r="S568" s="3">
        <v>31.68</v>
      </c>
      <c r="T568" s="3">
        <v>158.4</v>
      </c>
      <c r="U568" s="3">
        <v>80.639999999999958</v>
      </c>
      <c r="V568" s="5">
        <v>0.33734939759036131</v>
      </c>
      <c r="W568">
        <v>4</v>
      </c>
      <c r="X568" t="s">
        <v>58</v>
      </c>
      <c r="Y568" s="6">
        <v>3</v>
      </c>
    </row>
    <row r="569" spans="1:25">
      <c r="A569" t="s">
        <v>932</v>
      </c>
      <c r="B569" s="2">
        <v>45617</v>
      </c>
      <c r="C569">
        <v>2024</v>
      </c>
      <c r="D569" t="s">
        <v>488</v>
      </c>
      <c r="E569" t="s">
        <v>519</v>
      </c>
      <c r="F569" t="s">
        <v>65</v>
      </c>
      <c r="G569" t="s">
        <v>76</v>
      </c>
      <c r="H569" t="s">
        <v>126</v>
      </c>
      <c r="I569" t="s">
        <v>31</v>
      </c>
      <c r="J569" t="s">
        <v>154</v>
      </c>
      <c r="K569" t="s">
        <v>61</v>
      </c>
      <c r="L569" t="s">
        <v>62</v>
      </c>
      <c r="M569" t="s">
        <v>63</v>
      </c>
      <c r="N569" t="s">
        <v>57</v>
      </c>
      <c r="O569" s="3">
        <v>89.7</v>
      </c>
      <c r="P569">
        <v>2</v>
      </c>
      <c r="Q569" s="4">
        <v>0.05</v>
      </c>
      <c r="R569" s="3">
        <v>170.43</v>
      </c>
      <c r="S569" s="3">
        <v>45.09</v>
      </c>
      <c r="T569" s="3">
        <v>90.18</v>
      </c>
      <c r="U569" s="3">
        <v>80.25</v>
      </c>
      <c r="V569" s="5">
        <v>0.47086780496391478</v>
      </c>
      <c r="W569">
        <v>7</v>
      </c>
      <c r="X569" t="s">
        <v>37</v>
      </c>
      <c r="Y569" s="6">
        <v>4</v>
      </c>
    </row>
    <row r="570" spans="1:25">
      <c r="A570" t="s">
        <v>933</v>
      </c>
      <c r="B570" s="2">
        <v>45617</v>
      </c>
      <c r="C570">
        <v>2024</v>
      </c>
      <c r="D570" t="s">
        <v>488</v>
      </c>
      <c r="E570" t="s">
        <v>519</v>
      </c>
      <c r="F570" t="s">
        <v>65</v>
      </c>
      <c r="G570" t="s">
        <v>76</v>
      </c>
      <c r="H570" t="s">
        <v>126</v>
      </c>
      <c r="I570" t="s">
        <v>42</v>
      </c>
      <c r="J570" t="s">
        <v>639</v>
      </c>
      <c r="K570" t="s">
        <v>61</v>
      </c>
      <c r="L570" t="s">
        <v>80</v>
      </c>
      <c r="M570" t="s">
        <v>187</v>
      </c>
      <c r="N570" t="s">
        <v>44</v>
      </c>
      <c r="O570" s="3">
        <v>1335.02</v>
      </c>
      <c r="P570">
        <v>4</v>
      </c>
      <c r="Q570" s="4">
        <v>0.05</v>
      </c>
      <c r="R570" s="3">
        <v>5073.076</v>
      </c>
      <c r="S570" s="3">
        <v>826.48</v>
      </c>
      <c r="T570" s="3">
        <v>3305.92</v>
      </c>
      <c r="U570" s="3">
        <v>1767.1559999999999</v>
      </c>
      <c r="V570" s="5">
        <v>0.34834013919759926</v>
      </c>
      <c r="W570">
        <v>5</v>
      </c>
      <c r="X570" t="s">
        <v>37</v>
      </c>
      <c r="Y570" s="6">
        <v>5</v>
      </c>
    </row>
    <row r="571" spans="1:25">
      <c r="A571" t="s">
        <v>934</v>
      </c>
      <c r="B571" s="2">
        <v>45618</v>
      </c>
      <c r="C571">
        <v>2024</v>
      </c>
      <c r="D571" t="s">
        <v>488</v>
      </c>
      <c r="E571" t="s">
        <v>519</v>
      </c>
      <c r="F571" t="s">
        <v>28</v>
      </c>
      <c r="G571" t="s">
        <v>29</v>
      </c>
      <c r="H571" t="s">
        <v>60</v>
      </c>
      <c r="I571" t="s">
        <v>78</v>
      </c>
      <c r="J571" t="s">
        <v>342</v>
      </c>
      <c r="K571" t="s">
        <v>61</v>
      </c>
      <c r="L571" t="s">
        <v>84</v>
      </c>
      <c r="M571" t="s">
        <v>85</v>
      </c>
      <c r="N571" t="s">
        <v>44</v>
      </c>
      <c r="O571" s="3">
        <v>144.88999999999999</v>
      </c>
      <c r="P571">
        <v>4</v>
      </c>
      <c r="Q571" s="4">
        <v>0</v>
      </c>
      <c r="R571" s="3">
        <v>579.55999999999995</v>
      </c>
      <c r="S571" s="3">
        <v>70.58</v>
      </c>
      <c r="T571" s="3">
        <v>282.32</v>
      </c>
      <c r="U571" s="3">
        <v>297.23999999999995</v>
      </c>
      <c r="V571" s="5">
        <v>0.51287183380495549</v>
      </c>
      <c r="W571">
        <v>2</v>
      </c>
      <c r="X571" t="s">
        <v>37</v>
      </c>
      <c r="Y571" s="6">
        <v>5</v>
      </c>
    </row>
    <row r="572" spans="1:25">
      <c r="A572" t="s">
        <v>935</v>
      </c>
      <c r="B572" s="2">
        <v>45618</v>
      </c>
      <c r="C572">
        <v>2024</v>
      </c>
      <c r="D572" t="s">
        <v>488</v>
      </c>
      <c r="E572" t="s">
        <v>519</v>
      </c>
      <c r="F572" t="s">
        <v>65</v>
      </c>
      <c r="G572" t="s">
        <v>66</v>
      </c>
      <c r="H572" t="s">
        <v>67</v>
      </c>
      <c r="I572" t="s">
        <v>71</v>
      </c>
      <c r="J572" t="s">
        <v>621</v>
      </c>
      <c r="K572" t="s">
        <v>47</v>
      </c>
      <c r="L572" t="s">
        <v>48</v>
      </c>
      <c r="M572" t="s">
        <v>49</v>
      </c>
      <c r="N572" t="s">
        <v>36</v>
      </c>
      <c r="O572" s="3">
        <v>32.590000000000003</v>
      </c>
      <c r="P572">
        <v>4</v>
      </c>
      <c r="Q572" s="4">
        <v>0.1</v>
      </c>
      <c r="R572" s="3">
        <v>117.32400000000001</v>
      </c>
      <c r="S572" s="3">
        <v>14.37</v>
      </c>
      <c r="T572" s="3">
        <v>57.48</v>
      </c>
      <c r="U572" s="3">
        <v>59.844000000000015</v>
      </c>
      <c r="V572" s="5">
        <v>0.51007466503017296</v>
      </c>
      <c r="W572">
        <v>4</v>
      </c>
      <c r="X572" t="s">
        <v>37</v>
      </c>
      <c r="Y572" s="6">
        <v>5</v>
      </c>
    </row>
    <row r="573" spans="1:25">
      <c r="A573" t="s">
        <v>936</v>
      </c>
      <c r="B573" s="2">
        <v>45619</v>
      </c>
      <c r="C573">
        <v>2024</v>
      </c>
      <c r="D573" t="s">
        <v>488</v>
      </c>
      <c r="E573" t="s">
        <v>519</v>
      </c>
      <c r="F573" t="s">
        <v>39</v>
      </c>
      <c r="G573" t="s">
        <v>40</v>
      </c>
      <c r="H573" t="s">
        <v>41</v>
      </c>
      <c r="I573" t="s">
        <v>71</v>
      </c>
      <c r="J573" t="s">
        <v>175</v>
      </c>
      <c r="K573" t="s">
        <v>33</v>
      </c>
      <c r="L573" t="s">
        <v>34</v>
      </c>
      <c r="M573" t="s">
        <v>150</v>
      </c>
      <c r="N573" t="s">
        <v>44</v>
      </c>
      <c r="O573" s="3">
        <v>417.37</v>
      </c>
      <c r="P573">
        <v>4</v>
      </c>
      <c r="Q573" s="4">
        <v>0.2</v>
      </c>
      <c r="R573" s="3">
        <v>1335.5840000000001</v>
      </c>
      <c r="S573" s="3">
        <v>245.55</v>
      </c>
      <c r="T573" s="3">
        <v>982.2</v>
      </c>
      <c r="U573" s="3">
        <v>353.38400000000001</v>
      </c>
      <c r="V573" s="5">
        <v>0.26459136976783187</v>
      </c>
      <c r="W573">
        <v>7</v>
      </c>
      <c r="X573" t="s">
        <v>37</v>
      </c>
      <c r="Y573" s="6">
        <v>3</v>
      </c>
    </row>
    <row r="574" spans="1:25">
      <c r="A574" t="s">
        <v>937</v>
      </c>
      <c r="B574" s="2">
        <v>45620</v>
      </c>
      <c r="C574">
        <v>2024</v>
      </c>
      <c r="D574" t="s">
        <v>488</v>
      </c>
      <c r="E574" t="s">
        <v>519</v>
      </c>
      <c r="F574" t="s">
        <v>51</v>
      </c>
      <c r="G574" t="s">
        <v>52</v>
      </c>
      <c r="H574" t="s">
        <v>53</v>
      </c>
      <c r="I574" t="s">
        <v>42</v>
      </c>
      <c r="J574" t="s">
        <v>270</v>
      </c>
      <c r="K574" t="s">
        <v>61</v>
      </c>
      <c r="L574" t="s">
        <v>62</v>
      </c>
      <c r="M574" t="s">
        <v>195</v>
      </c>
      <c r="N574" t="s">
        <v>36</v>
      </c>
      <c r="O574" s="3">
        <v>72.77</v>
      </c>
      <c r="P574">
        <v>1</v>
      </c>
      <c r="Q574" s="4">
        <v>0</v>
      </c>
      <c r="R574" s="3">
        <v>72.77</v>
      </c>
      <c r="S574" s="3">
        <v>31.44</v>
      </c>
      <c r="T574" s="3">
        <v>31.44</v>
      </c>
      <c r="U574" s="3">
        <v>41.33</v>
      </c>
      <c r="V574" s="5">
        <v>0.56795382712656317</v>
      </c>
      <c r="W574">
        <v>4</v>
      </c>
      <c r="X574" t="s">
        <v>37</v>
      </c>
      <c r="Y574" s="6">
        <v>4</v>
      </c>
    </row>
    <row r="575" spans="1:25">
      <c r="A575" t="s">
        <v>938</v>
      </c>
      <c r="B575" s="2">
        <v>45622</v>
      </c>
      <c r="C575">
        <v>2024</v>
      </c>
      <c r="D575" t="s">
        <v>488</v>
      </c>
      <c r="E575" t="s">
        <v>519</v>
      </c>
      <c r="F575" t="s">
        <v>51</v>
      </c>
      <c r="G575" t="s">
        <v>52</v>
      </c>
      <c r="H575" t="s">
        <v>102</v>
      </c>
      <c r="I575" t="s">
        <v>78</v>
      </c>
      <c r="J575" t="s">
        <v>846</v>
      </c>
      <c r="K575" t="s">
        <v>33</v>
      </c>
      <c r="L575" t="s">
        <v>88</v>
      </c>
      <c r="M575" t="s">
        <v>100</v>
      </c>
      <c r="N575" t="s">
        <v>44</v>
      </c>
      <c r="O575" s="3">
        <v>293.39999999999998</v>
      </c>
      <c r="P575">
        <v>2</v>
      </c>
      <c r="Q575" s="4">
        <v>0.05</v>
      </c>
      <c r="R575" s="3">
        <v>557.45999999999992</v>
      </c>
      <c r="S575" s="3">
        <v>157.66</v>
      </c>
      <c r="T575" s="3">
        <v>315.32</v>
      </c>
      <c r="U575" s="3">
        <v>242.13999999999993</v>
      </c>
      <c r="V575" s="5">
        <v>0.43436300362357833</v>
      </c>
      <c r="W575">
        <v>4</v>
      </c>
      <c r="X575" t="s">
        <v>37</v>
      </c>
      <c r="Y575" s="6">
        <v>4</v>
      </c>
    </row>
    <row r="576" spans="1:25">
      <c r="A576" t="s">
        <v>939</v>
      </c>
      <c r="B576" s="2">
        <v>45622</v>
      </c>
      <c r="C576">
        <v>2024</v>
      </c>
      <c r="D576" t="s">
        <v>488</v>
      </c>
      <c r="E576" t="s">
        <v>519</v>
      </c>
      <c r="F576" t="s">
        <v>65</v>
      </c>
      <c r="G576" t="s">
        <v>66</v>
      </c>
      <c r="H576" t="s">
        <v>67</v>
      </c>
      <c r="I576" t="s">
        <v>42</v>
      </c>
      <c r="J576" t="s">
        <v>516</v>
      </c>
      <c r="K576" t="s">
        <v>33</v>
      </c>
      <c r="L576" t="s">
        <v>73</v>
      </c>
      <c r="M576" t="s">
        <v>74</v>
      </c>
      <c r="N576" t="s">
        <v>57</v>
      </c>
      <c r="O576" s="3">
        <v>717.86</v>
      </c>
      <c r="P576">
        <v>1</v>
      </c>
      <c r="Q576" s="4">
        <v>0</v>
      </c>
      <c r="R576" s="3">
        <v>717.86</v>
      </c>
      <c r="S576" s="3">
        <v>417.52</v>
      </c>
      <c r="T576" s="3">
        <v>417.52</v>
      </c>
      <c r="U576" s="3">
        <v>300.34000000000003</v>
      </c>
      <c r="V576" s="5">
        <v>0.41838241439835067</v>
      </c>
      <c r="W576">
        <v>4</v>
      </c>
      <c r="X576" t="s">
        <v>37</v>
      </c>
      <c r="Y576" s="6">
        <v>4</v>
      </c>
    </row>
    <row r="577" spans="1:25">
      <c r="A577" t="s">
        <v>940</v>
      </c>
      <c r="B577" s="2">
        <v>45622</v>
      </c>
      <c r="C577">
        <v>2024</v>
      </c>
      <c r="D577" t="s">
        <v>488</v>
      </c>
      <c r="E577" t="s">
        <v>519</v>
      </c>
      <c r="F577" t="s">
        <v>65</v>
      </c>
      <c r="G577" t="s">
        <v>76</v>
      </c>
      <c r="H577" t="s">
        <v>77</v>
      </c>
      <c r="I577" t="s">
        <v>42</v>
      </c>
      <c r="J577" t="s">
        <v>79</v>
      </c>
      <c r="K577" t="s">
        <v>47</v>
      </c>
      <c r="L577" t="s">
        <v>114</v>
      </c>
      <c r="M577" t="s">
        <v>120</v>
      </c>
      <c r="N577" t="s">
        <v>44</v>
      </c>
      <c r="O577" s="3">
        <v>25.99</v>
      </c>
      <c r="P577">
        <v>8</v>
      </c>
      <c r="Q577" s="4">
        <v>0.05</v>
      </c>
      <c r="R577" s="3">
        <v>197.52399999999997</v>
      </c>
      <c r="S577" s="3">
        <v>11.25</v>
      </c>
      <c r="T577" s="3">
        <v>90</v>
      </c>
      <c r="U577" s="3">
        <v>107.52399999999997</v>
      </c>
      <c r="V577" s="5">
        <v>0.54435916648103511</v>
      </c>
      <c r="W577">
        <v>2</v>
      </c>
      <c r="X577" t="s">
        <v>37</v>
      </c>
      <c r="Y577" s="6">
        <v>4</v>
      </c>
    </row>
    <row r="578" spans="1:25">
      <c r="A578" t="s">
        <v>941</v>
      </c>
      <c r="B578" s="2">
        <v>45624</v>
      </c>
      <c r="C578">
        <v>2024</v>
      </c>
      <c r="D578" t="s">
        <v>488</v>
      </c>
      <c r="E578" t="s">
        <v>519</v>
      </c>
      <c r="F578" t="s">
        <v>39</v>
      </c>
      <c r="G578" t="s">
        <v>111</v>
      </c>
      <c r="H578" t="s">
        <v>112</v>
      </c>
      <c r="I578" t="s">
        <v>71</v>
      </c>
      <c r="J578" t="s">
        <v>213</v>
      </c>
      <c r="K578" t="s">
        <v>33</v>
      </c>
      <c r="L578" t="s">
        <v>73</v>
      </c>
      <c r="M578" t="s">
        <v>74</v>
      </c>
      <c r="N578" t="s">
        <v>36</v>
      </c>
      <c r="O578" s="3">
        <v>703.06</v>
      </c>
      <c r="P578">
        <v>2</v>
      </c>
      <c r="Q578" s="4">
        <v>0</v>
      </c>
      <c r="R578" s="3">
        <v>1406.12</v>
      </c>
      <c r="S578" s="3">
        <v>413.58</v>
      </c>
      <c r="T578" s="3">
        <v>827.16</v>
      </c>
      <c r="U578" s="3">
        <v>578.95999999999992</v>
      </c>
      <c r="V578" s="5">
        <v>0.41174295223736235</v>
      </c>
      <c r="W578">
        <v>4</v>
      </c>
      <c r="X578" t="s">
        <v>37</v>
      </c>
      <c r="Y578" s="6">
        <v>5</v>
      </c>
    </row>
    <row r="579" spans="1:25">
      <c r="A579" t="s">
        <v>942</v>
      </c>
      <c r="B579" s="2">
        <v>45626</v>
      </c>
      <c r="C579">
        <v>2024</v>
      </c>
      <c r="D579" t="s">
        <v>488</v>
      </c>
      <c r="E579" t="s">
        <v>519</v>
      </c>
      <c r="F579" t="s">
        <v>65</v>
      </c>
      <c r="G579" t="s">
        <v>66</v>
      </c>
      <c r="H579" t="s">
        <v>67</v>
      </c>
      <c r="I579" t="s">
        <v>71</v>
      </c>
      <c r="J579" t="s">
        <v>715</v>
      </c>
      <c r="K579" t="s">
        <v>33</v>
      </c>
      <c r="L579" t="s">
        <v>34</v>
      </c>
      <c r="M579" t="s">
        <v>150</v>
      </c>
      <c r="N579" t="s">
        <v>36</v>
      </c>
      <c r="O579" s="3">
        <v>408.69</v>
      </c>
      <c r="P579">
        <v>2</v>
      </c>
      <c r="Q579" s="4">
        <v>0.05</v>
      </c>
      <c r="R579" s="3">
        <v>776.51099999999997</v>
      </c>
      <c r="S579" s="3">
        <v>256.11</v>
      </c>
      <c r="T579" s="3">
        <v>512.22</v>
      </c>
      <c r="U579" s="3">
        <v>264.29099999999994</v>
      </c>
      <c r="V579" s="5">
        <v>0.34035705868944544</v>
      </c>
      <c r="W579">
        <v>4</v>
      </c>
      <c r="X579" t="s">
        <v>37</v>
      </c>
      <c r="Y579" s="6">
        <v>4</v>
      </c>
    </row>
    <row r="580" spans="1:25">
      <c r="A580" t="s">
        <v>943</v>
      </c>
      <c r="B580" s="2">
        <v>45627</v>
      </c>
      <c r="C580">
        <v>2024</v>
      </c>
      <c r="D580" t="s">
        <v>488</v>
      </c>
      <c r="E580" t="s">
        <v>552</v>
      </c>
      <c r="F580" t="s">
        <v>65</v>
      </c>
      <c r="G580" t="s">
        <v>66</v>
      </c>
      <c r="H580" t="s">
        <v>67</v>
      </c>
      <c r="I580" t="s">
        <v>78</v>
      </c>
      <c r="J580" t="s">
        <v>944</v>
      </c>
      <c r="K580" t="s">
        <v>61</v>
      </c>
      <c r="L580" t="s">
        <v>62</v>
      </c>
      <c r="M580" t="s">
        <v>63</v>
      </c>
      <c r="N580" t="s">
        <v>57</v>
      </c>
      <c r="O580" s="3">
        <v>90.43</v>
      </c>
      <c r="P580">
        <v>2</v>
      </c>
      <c r="Q580" s="4">
        <v>0</v>
      </c>
      <c r="R580" s="3">
        <v>180.86</v>
      </c>
      <c r="S580" s="3">
        <v>43.85</v>
      </c>
      <c r="T580" s="3">
        <v>87.7</v>
      </c>
      <c r="U580" s="3">
        <v>93.160000000000011</v>
      </c>
      <c r="V580" s="5">
        <v>0.51509454826937962</v>
      </c>
      <c r="W580">
        <v>4</v>
      </c>
      <c r="X580" t="s">
        <v>37</v>
      </c>
      <c r="Y580" s="6">
        <v>5</v>
      </c>
    </row>
    <row r="581" spans="1:25">
      <c r="A581" t="s">
        <v>945</v>
      </c>
      <c r="B581" s="2">
        <v>45627</v>
      </c>
      <c r="C581">
        <v>2024</v>
      </c>
      <c r="D581" t="s">
        <v>488</v>
      </c>
      <c r="E581" t="s">
        <v>552</v>
      </c>
      <c r="F581" t="s">
        <v>28</v>
      </c>
      <c r="G581" t="s">
        <v>29</v>
      </c>
      <c r="H581" t="s">
        <v>106</v>
      </c>
      <c r="I581" t="s">
        <v>78</v>
      </c>
      <c r="J581" t="s">
        <v>313</v>
      </c>
      <c r="K581" t="s">
        <v>47</v>
      </c>
      <c r="L581" t="s">
        <v>55</v>
      </c>
      <c r="M581" t="s">
        <v>56</v>
      </c>
      <c r="N581" t="s">
        <v>57</v>
      </c>
      <c r="O581" s="3">
        <v>37.25</v>
      </c>
      <c r="P581">
        <v>6</v>
      </c>
      <c r="Q581" s="4">
        <v>0.1</v>
      </c>
      <c r="R581" s="3">
        <v>201.15</v>
      </c>
      <c r="S581" s="3">
        <v>16.829999999999998</v>
      </c>
      <c r="T581" s="3">
        <v>100.97999999999999</v>
      </c>
      <c r="U581" s="3">
        <v>100.17000000000002</v>
      </c>
      <c r="V581" s="5">
        <v>0.49798657718120815</v>
      </c>
      <c r="W581">
        <v>2</v>
      </c>
      <c r="X581" t="s">
        <v>37</v>
      </c>
      <c r="Y581" s="6">
        <v>4</v>
      </c>
    </row>
    <row r="582" spans="1:25">
      <c r="A582" t="s">
        <v>946</v>
      </c>
      <c r="B582" s="2">
        <v>45629</v>
      </c>
      <c r="C582">
        <v>2024</v>
      </c>
      <c r="D582" t="s">
        <v>488</v>
      </c>
      <c r="E582" t="s">
        <v>552</v>
      </c>
      <c r="F582" t="s">
        <v>28</v>
      </c>
      <c r="G582" t="s">
        <v>29</v>
      </c>
      <c r="H582" t="s">
        <v>60</v>
      </c>
      <c r="I582" t="s">
        <v>78</v>
      </c>
      <c r="J582" t="s">
        <v>626</v>
      </c>
      <c r="K582" t="s">
        <v>47</v>
      </c>
      <c r="L582" t="s">
        <v>55</v>
      </c>
      <c r="M582" t="s">
        <v>69</v>
      </c>
      <c r="N582" t="s">
        <v>36</v>
      </c>
      <c r="O582" s="3">
        <v>43.55</v>
      </c>
      <c r="P582">
        <v>9</v>
      </c>
      <c r="Q582" s="4">
        <v>0.05</v>
      </c>
      <c r="R582" s="3">
        <v>372.35249999999996</v>
      </c>
      <c r="S582" s="3">
        <v>21.85</v>
      </c>
      <c r="T582" s="3">
        <v>196.65</v>
      </c>
      <c r="U582" s="3">
        <v>175.70249999999996</v>
      </c>
      <c r="V582" s="5">
        <v>0.47187141216991957</v>
      </c>
      <c r="W582">
        <v>1</v>
      </c>
      <c r="X582" t="s">
        <v>37</v>
      </c>
      <c r="Y582" s="6">
        <v>5</v>
      </c>
    </row>
    <row r="583" spans="1:25">
      <c r="A583" t="s">
        <v>947</v>
      </c>
      <c r="B583" s="2">
        <v>45630</v>
      </c>
      <c r="C583">
        <v>2024</v>
      </c>
      <c r="D583" t="s">
        <v>488</v>
      </c>
      <c r="E583" t="s">
        <v>552</v>
      </c>
      <c r="F583" t="s">
        <v>51</v>
      </c>
      <c r="G583" t="s">
        <v>52</v>
      </c>
      <c r="H583" t="s">
        <v>102</v>
      </c>
      <c r="I583" t="s">
        <v>42</v>
      </c>
      <c r="J583" t="s">
        <v>83</v>
      </c>
      <c r="K583" t="s">
        <v>33</v>
      </c>
      <c r="L583" t="s">
        <v>34</v>
      </c>
      <c r="M583" t="s">
        <v>35</v>
      </c>
      <c r="N583" t="s">
        <v>44</v>
      </c>
      <c r="O583" s="3">
        <v>176.52</v>
      </c>
      <c r="P583">
        <v>1</v>
      </c>
      <c r="Q583" s="4">
        <v>0.15</v>
      </c>
      <c r="R583" s="3">
        <v>150.042</v>
      </c>
      <c r="S583" s="3">
        <v>91.9</v>
      </c>
      <c r="T583" s="3">
        <v>91.9</v>
      </c>
      <c r="U583" s="3">
        <v>58.141999999999996</v>
      </c>
      <c r="V583" s="5">
        <v>0.38750483198037877</v>
      </c>
      <c r="W583">
        <v>5</v>
      </c>
      <c r="X583" t="s">
        <v>37</v>
      </c>
      <c r="Y583" s="6">
        <v>5</v>
      </c>
    </row>
    <row r="584" spans="1:25">
      <c r="A584" t="s">
        <v>948</v>
      </c>
      <c r="B584" s="2">
        <v>45631</v>
      </c>
      <c r="C584">
        <v>2024</v>
      </c>
      <c r="D584" t="s">
        <v>488</v>
      </c>
      <c r="E584" t="s">
        <v>552</v>
      </c>
      <c r="F584" t="s">
        <v>28</v>
      </c>
      <c r="G584" t="s">
        <v>29</v>
      </c>
      <c r="H584" t="s">
        <v>106</v>
      </c>
      <c r="I584" t="s">
        <v>78</v>
      </c>
      <c r="J584" t="s">
        <v>829</v>
      </c>
      <c r="K584" t="s">
        <v>33</v>
      </c>
      <c r="L584" t="s">
        <v>34</v>
      </c>
      <c r="M584" t="s">
        <v>35</v>
      </c>
      <c r="N584" t="s">
        <v>36</v>
      </c>
      <c r="O584" s="3">
        <v>182.96</v>
      </c>
      <c r="P584">
        <v>2</v>
      </c>
      <c r="Q584" s="4">
        <v>0.1</v>
      </c>
      <c r="R584" s="3">
        <v>329.32800000000003</v>
      </c>
      <c r="S584" s="3">
        <v>89.46</v>
      </c>
      <c r="T584" s="3">
        <v>178.92</v>
      </c>
      <c r="U584" s="3">
        <v>150.40800000000004</v>
      </c>
      <c r="V584" s="5">
        <v>0.45671184958460875</v>
      </c>
      <c r="W584">
        <v>4</v>
      </c>
      <c r="X584" t="s">
        <v>37</v>
      </c>
      <c r="Y584" s="6">
        <v>4</v>
      </c>
    </row>
    <row r="585" spans="1:25">
      <c r="A585" t="s">
        <v>949</v>
      </c>
      <c r="B585" s="2">
        <v>45632</v>
      </c>
      <c r="C585">
        <v>2024</v>
      </c>
      <c r="D585" t="s">
        <v>488</v>
      </c>
      <c r="E585" t="s">
        <v>552</v>
      </c>
      <c r="F585" t="s">
        <v>28</v>
      </c>
      <c r="G585" t="s">
        <v>29</v>
      </c>
      <c r="H585" t="s">
        <v>60</v>
      </c>
      <c r="I585" t="s">
        <v>78</v>
      </c>
      <c r="J585" t="s">
        <v>313</v>
      </c>
      <c r="K585" t="s">
        <v>33</v>
      </c>
      <c r="L585" t="s">
        <v>88</v>
      </c>
      <c r="M585" t="s">
        <v>89</v>
      </c>
      <c r="N585" t="s">
        <v>44</v>
      </c>
      <c r="O585" s="3">
        <v>239.93</v>
      </c>
      <c r="P585">
        <v>1</v>
      </c>
      <c r="Q585" s="4">
        <v>0.1</v>
      </c>
      <c r="R585" s="3">
        <v>215.93700000000001</v>
      </c>
      <c r="S585" s="3">
        <v>129.41999999999999</v>
      </c>
      <c r="T585" s="3">
        <v>129.41999999999999</v>
      </c>
      <c r="U585" s="3">
        <v>86.517000000000024</v>
      </c>
      <c r="V585" s="5">
        <v>0.4006585254032427</v>
      </c>
      <c r="W585">
        <v>1</v>
      </c>
      <c r="X585" t="s">
        <v>37</v>
      </c>
      <c r="Y585" s="6">
        <v>5</v>
      </c>
    </row>
    <row r="586" spans="1:25">
      <c r="A586" t="s">
        <v>950</v>
      </c>
      <c r="B586" s="2">
        <v>45632</v>
      </c>
      <c r="C586">
        <v>2024</v>
      </c>
      <c r="D586" t="s">
        <v>488</v>
      </c>
      <c r="E586" t="s">
        <v>552</v>
      </c>
      <c r="F586" t="s">
        <v>28</v>
      </c>
      <c r="G586" t="s">
        <v>29</v>
      </c>
      <c r="H586" t="s">
        <v>106</v>
      </c>
      <c r="I586" t="s">
        <v>42</v>
      </c>
      <c r="J586" t="s">
        <v>293</v>
      </c>
      <c r="K586" t="s">
        <v>33</v>
      </c>
      <c r="L586" t="s">
        <v>88</v>
      </c>
      <c r="M586" t="s">
        <v>100</v>
      </c>
      <c r="N586" t="s">
        <v>44</v>
      </c>
      <c r="O586" s="3">
        <v>294.43</v>
      </c>
      <c r="P586">
        <v>2</v>
      </c>
      <c r="Q586" s="4">
        <v>0.1</v>
      </c>
      <c r="R586" s="3">
        <v>529.97400000000005</v>
      </c>
      <c r="S586" s="3">
        <v>152.75</v>
      </c>
      <c r="T586" s="3">
        <v>305.5</v>
      </c>
      <c r="U586" s="3">
        <v>224.47400000000005</v>
      </c>
      <c r="V586" s="5">
        <v>0.42355662730624527</v>
      </c>
      <c r="W586">
        <v>7</v>
      </c>
      <c r="X586" t="s">
        <v>58</v>
      </c>
      <c r="Y586" s="6">
        <v>3</v>
      </c>
    </row>
    <row r="587" spans="1:25">
      <c r="A587" t="s">
        <v>951</v>
      </c>
      <c r="B587" s="2">
        <v>45632</v>
      </c>
      <c r="C587">
        <v>2024</v>
      </c>
      <c r="D587" t="s">
        <v>488</v>
      </c>
      <c r="E587" t="s">
        <v>552</v>
      </c>
      <c r="F587" t="s">
        <v>39</v>
      </c>
      <c r="G587" t="s">
        <v>91</v>
      </c>
      <c r="H587" t="s">
        <v>92</v>
      </c>
      <c r="I587" t="s">
        <v>31</v>
      </c>
      <c r="J587" t="s">
        <v>486</v>
      </c>
      <c r="K587" t="s">
        <v>33</v>
      </c>
      <c r="L587" t="s">
        <v>34</v>
      </c>
      <c r="M587" t="s">
        <v>35</v>
      </c>
      <c r="N587" t="s">
        <v>44</v>
      </c>
      <c r="O587" s="3">
        <v>182.91</v>
      </c>
      <c r="P587">
        <v>5</v>
      </c>
      <c r="Q587" s="4">
        <v>0</v>
      </c>
      <c r="R587" s="3">
        <v>914.55</v>
      </c>
      <c r="S587" s="3">
        <v>90</v>
      </c>
      <c r="T587" s="3">
        <v>450</v>
      </c>
      <c r="U587" s="3">
        <v>464.54999999999995</v>
      </c>
      <c r="V587" s="5">
        <v>0.5079547318353288</v>
      </c>
      <c r="W587">
        <v>5</v>
      </c>
      <c r="X587" t="s">
        <v>37</v>
      </c>
      <c r="Y587" s="6">
        <v>4</v>
      </c>
    </row>
    <row r="588" spans="1:25">
      <c r="A588" t="s">
        <v>952</v>
      </c>
      <c r="B588" s="2">
        <v>45632</v>
      </c>
      <c r="C588">
        <v>2024</v>
      </c>
      <c r="D588" t="s">
        <v>488</v>
      </c>
      <c r="E588" t="s">
        <v>552</v>
      </c>
      <c r="F588" t="s">
        <v>65</v>
      </c>
      <c r="G588" t="s">
        <v>76</v>
      </c>
      <c r="H588" t="s">
        <v>126</v>
      </c>
      <c r="I588" t="s">
        <v>78</v>
      </c>
      <c r="J588" t="s">
        <v>158</v>
      </c>
      <c r="K588" t="s">
        <v>61</v>
      </c>
      <c r="L588" t="s">
        <v>80</v>
      </c>
      <c r="M588" t="s">
        <v>187</v>
      </c>
      <c r="N588" t="s">
        <v>36</v>
      </c>
      <c r="O588" s="3">
        <v>1301.3</v>
      </c>
      <c r="P588">
        <v>2</v>
      </c>
      <c r="Q588" s="4">
        <v>0.05</v>
      </c>
      <c r="R588" s="3">
        <v>2472.4699999999998</v>
      </c>
      <c r="S588" s="3">
        <v>870.39</v>
      </c>
      <c r="T588" s="3">
        <v>1740.78</v>
      </c>
      <c r="U588" s="3">
        <v>731.68999999999983</v>
      </c>
      <c r="V588" s="5">
        <v>0.2959348343963728</v>
      </c>
      <c r="W588">
        <v>7</v>
      </c>
      <c r="X588" t="s">
        <v>37</v>
      </c>
      <c r="Y588" s="6">
        <v>4</v>
      </c>
    </row>
    <row r="589" spans="1:25">
      <c r="A589" t="s">
        <v>953</v>
      </c>
      <c r="B589" s="2">
        <v>45634</v>
      </c>
      <c r="C589">
        <v>2024</v>
      </c>
      <c r="D589" t="s">
        <v>488</v>
      </c>
      <c r="E589" t="s">
        <v>552</v>
      </c>
      <c r="F589" t="s">
        <v>39</v>
      </c>
      <c r="G589" t="s">
        <v>111</v>
      </c>
      <c r="H589" t="s">
        <v>112</v>
      </c>
      <c r="I589" t="s">
        <v>42</v>
      </c>
      <c r="J589" t="s">
        <v>954</v>
      </c>
      <c r="K589" t="s">
        <v>61</v>
      </c>
      <c r="L589" t="s">
        <v>84</v>
      </c>
      <c r="M589" t="s">
        <v>135</v>
      </c>
      <c r="N589" t="s">
        <v>44</v>
      </c>
      <c r="O589" s="3">
        <v>939.44</v>
      </c>
      <c r="P589">
        <v>5</v>
      </c>
      <c r="Q589" s="4">
        <v>0.2</v>
      </c>
      <c r="R589" s="3">
        <v>3757.7600000000007</v>
      </c>
      <c r="S589" s="3">
        <v>562.69000000000005</v>
      </c>
      <c r="T589" s="3">
        <v>2813.4500000000003</v>
      </c>
      <c r="U589" s="3">
        <v>944.3100000000004</v>
      </c>
      <c r="V589" s="5">
        <v>0.25129598484203364</v>
      </c>
      <c r="W589">
        <v>1</v>
      </c>
      <c r="X589" t="s">
        <v>37</v>
      </c>
      <c r="Y589" s="6">
        <v>5</v>
      </c>
    </row>
    <row r="590" spans="1:25">
      <c r="A590" t="s">
        <v>955</v>
      </c>
      <c r="B590" s="2">
        <v>45636</v>
      </c>
      <c r="C590">
        <v>2024</v>
      </c>
      <c r="D590" t="s">
        <v>488</v>
      </c>
      <c r="E590" t="s">
        <v>552</v>
      </c>
      <c r="F590" t="s">
        <v>28</v>
      </c>
      <c r="G590" t="s">
        <v>29</v>
      </c>
      <c r="H590" t="s">
        <v>30</v>
      </c>
      <c r="I590" t="s">
        <v>78</v>
      </c>
      <c r="J590" t="s">
        <v>944</v>
      </c>
      <c r="K590" t="s">
        <v>47</v>
      </c>
      <c r="L590" t="s">
        <v>48</v>
      </c>
      <c r="M590" t="s">
        <v>104</v>
      </c>
      <c r="N590" t="s">
        <v>57</v>
      </c>
      <c r="O590" s="3">
        <v>52.77</v>
      </c>
      <c r="P590">
        <v>6</v>
      </c>
      <c r="Q590" s="4">
        <v>0</v>
      </c>
      <c r="R590" s="3">
        <v>316.62</v>
      </c>
      <c r="S590" s="3">
        <v>30.93</v>
      </c>
      <c r="T590" s="3">
        <v>185.57999999999998</v>
      </c>
      <c r="U590" s="3">
        <v>131.04000000000002</v>
      </c>
      <c r="V590" s="5">
        <v>0.41387151790790228</v>
      </c>
      <c r="W590">
        <v>1</v>
      </c>
      <c r="X590" t="s">
        <v>37</v>
      </c>
      <c r="Y590" s="6">
        <v>5</v>
      </c>
    </row>
    <row r="591" spans="1:25">
      <c r="A591" t="s">
        <v>956</v>
      </c>
      <c r="B591" s="2">
        <v>45637</v>
      </c>
      <c r="C591">
        <v>2024</v>
      </c>
      <c r="D591" t="s">
        <v>488</v>
      </c>
      <c r="E591" t="s">
        <v>552</v>
      </c>
      <c r="F591" t="s">
        <v>65</v>
      </c>
      <c r="G591" t="s">
        <v>76</v>
      </c>
      <c r="H591" t="s">
        <v>77</v>
      </c>
      <c r="I591" t="s">
        <v>78</v>
      </c>
      <c r="J591" t="s">
        <v>621</v>
      </c>
      <c r="K591" t="s">
        <v>47</v>
      </c>
      <c r="L591" t="s">
        <v>114</v>
      </c>
      <c r="M591" t="s">
        <v>120</v>
      </c>
      <c r="N591" t="s">
        <v>57</v>
      </c>
      <c r="O591" s="3">
        <v>26.38</v>
      </c>
      <c r="P591">
        <v>7</v>
      </c>
      <c r="Q591" s="4">
        <v>0.1</v>
      </c>
      <c r="R591" s="3">
        <v>166.19399999999999</v>
      </c>
      <c r="S591" s="3">
        <v>11.26</v>
      </c>
      <c r="T591" s="3">
        <v>78.819999999999993</v>
      </c>
      <c r="U591" s="3">
        <v>87.373999999999995</v>
      </c>
      <c r="V591" s="5">
        <v>0.52573498441580324</v>
      </c>
      <c r="W591">
        <v>4</v>
      </c>
      <c r="X591" t="s">
        <v>37</v>
      </c>
      <c r="Y591" s="6">
        <v>5</v>
      </c>
    </row>
    <row r="592" spans="1:25">
      <c r="A592" t="s">
        <v>957</v>
      </c>
      <c r="B592" s="2">
        <v>45637</v>
      </c>
      <c r="C592">
        <v>2024</v>
      </c>
      <c r="D592" t="s">
        <v>488</v>
      </c>
      <c r="E592" t="s">
        <v>552</v>
      </c>
      <c r="F592" t="s">
        <v>51</v>
      </c>
      <c r="G592" t="s">
        <v>97</v>
      </c>
      <c r="H592" t="s">
        <v>98</v>
      </c>
      <c r="I592" t="s">
        <v>31</v>
      </c>
      <c r="J592" t="s">
        <v>181</v>
      </c>
      <c r="K592" t="s">
        <v>61</v>
      </c>
      <c r="L592" t="s">
        <v>80</v>
      </c>
      <c r="M592" t="s">
        <v>187</v>
      </c>
      <c r="N592" t="s">
        <v>57</v>
      </c>
      <c r="O592" s="3">
        <v>1247.01</v>
      </c>
      <c r="P592">
        <v>1</v>
      </c>
      <c r="Q592" s="4">
        <v>0</v>
      </c>
      <c r="R592" s="3">
        <v>1247.01</v>
      </c>
      <c r="S592" s="3">
        <v>871.34</v>
      </c>
      <c r="T592" s="3">
        <v>871.34</v>
      </c>
      <c r="U592" s="3">
        <v>375.66999999999996</v>
      </c>
      <c r="V592" s="5">
        <v>0.30125660580107616</v>
      </c>
      <c r="W592">
        <v>6</v>
      </c>
      <c r="X592" t="s">
        <v>37</v>
      </c>
      <c r="Y592" s="6">
        <v>4</v>
      </c>
    </row>
    <row r="593" spans="1:25">
      <c r="A593" t="s">
        <v>958</v>
      </c>
      <c r="B593" s="2">
        <v>45638</v>
      </c>
      <c r="C593">
        <v>2024</v>
      </c>
      <c r="D593" t="s">
        <v>488</v>
      </c>
      <c r="E593" t="s">
        <v>552</v>
      </c>
      <c r="F593" t="s">
        <v>51</v>
      </c>
      <c r="G593" t="s">
        <v>52</v>
      </c>
      <c r="H593" t="s">
        <v>53</v>
      </c>
      <c r="I593" t="s">
        <v>78</v>
      </c>
      <c r="J593" t="s">
        <v>175</v>
      </c>
      <c r="K593" t="s">
        <v>33</v>
      </c>
      <c r="L593" t="s">
        <v>73</v>
      </c>
      <c r="M593" t="s">
        <v>138</v>
      </c>
      <c r="N593" t="s">
        <v>57</v>
      </c>
      <c r="O593" s="3">
        <v>320.16000000000003</v>
      </c>
      <c r="P593">
        <v>1</v>
      </c>
      <c r="Q593" s="4">
        <v>0</v>
      </c>
      <c r="R593" s="3">
        <v>320.16000000000003</v>
      </c>
      <c r="S593" s="3">
        <v>176.08</v>
      </c>
      <c r="T593" s="3">
        <v>176.08</v>
      </c>
      <c r="U593" s="3">
        <v>144.08000000000001</v>
      </c>
      <c r="V593" s="5">
        <v>0.45002498750624687</v>
      </c>
      <c r="W593">
        <v>5</v>
      </c>
      <c r="X593" t="s">
        <v>37</v>
      </c>
      <c r="Y593" s="6">
        <v>4</v>
      </c>
    </row>
    <row r="594" spans="1:25">
      <c r="A594" t="s">
        <v>959</v>
      </c>
      <c r="B594" s="2">
        <v>45639</v>
      </c>
      <c r="C594">
        <v>2024</v>
      </c>
      <c r="D594" t="s">
        <v>488</v>
      </c>
      <c r="E594" t="s">
        <v>552</v>
      </c>
      <c r="F594" t="s">
        <v>65</v>
      </c>
      <c r="G594" t="s">
        <v>66</v>
      </c>
      <c r="H594" t="s">
        <v>67</v>
      </c>
      <c r="I594" t="s">
        <v>31</v>
      </c>
      <c r="J594" t="s">
        <v>474</v>
      </c>
      <c r="K594" t="s">
        <v>61</v>
      </c>
      <c r="L594" t="s">
        <v>80</v>
      </c>
      <c r="M594" t="s">
        <v>81</v>
      </c>
      <c r="N594" t="s">
        <v>36</v>
      </c>
      <c r="O594" s="3">
        <v>982.92</v>
      </c>
      <c r="P594">
        <v>1</v>
      </c>
      <c r="Q594" s="4">
        <v>0</v>
      </c>
      <c r="R594" s="3">
        <v>982.92</v>
      </c>
      <c r="S594" s="3">
        <v>663.13</v>
      </c>
      <c r="T594" s="3">
        <v>663.13</v>
      </c>
      <c r="U594" s="3">
        <v>319.78999999999996</v>
      </c>
      <c r="V594" s="5">
        <v>0.32534692548732347</v>
      </c>
      <c r="W594">
        <v>6</v>
      </c>
      <c r="X594" t="s">
        <v>37</v>
      </c>
      <c r="Y594" s="6">
        <v>4</v>
      </c>
    </row>
    <row r="595" spans="1:25">
      <c r="A595" t="s">
        <v>960</v>
      </c>
      <c r="B595" s="2">
        <v>45641</v>
      </c>
      <c r="C595">
        <v>2024</v>
      </c>
      <c r="D595" t="s">
        <v>488</v>
      </c>
      <c r="E595" t="s">
        <v>552</v>
      </c>
      <c r="F595" t="s">
        <v>39</v>
      </c>
      <c r="G595" t="s">
        <v>91</v>
      </c>
      <c r="H595" t="s">
        <v>92</v>
      </c>
      <c r="I595" t="s">
        <v>78</v>
      </c>
      <c r="J595" t="s">
        <v>377</v>
      </c>
      <c r="K595" t="s">
        <v>47</v>
      </c>
      <c r="L595" t="s">
        <v>55</v>
      </c>
      <c r="M595" t="s">
        <v>69</v>
      </c>
      <c r="N595" t="s">
        <v>36</v>
      </c>
      <c r="O595" s="3">
        <v>45.25</v>
      </c>
      <c r="P595">
        <v>5</v>
      </c>
      <c r="Q595" s="4">
        <v>0.05</v>
      </c>
      <c r="R595" s="3">
        <v>214.9375</v>
      </c>
      <c r="S595" s="3">
        <v>22.47</v>
      </c>
      <c r="T595" s="3">
        <v>112.35</v>
      </c>
      <c r="U595" s="3">
        <v>102.58750000000001</v>
      </c>
      <c r="V595" s="5">
        <v>0.47728990985751674</v>
      </c>
      <c r="W595">
        <v>1</v>
      </c>
      <c r="X595" t="s">
        <v>37</v>
      </c>
      <c r="Y595" s="6">
        <v>5</v>
      </c>
    </row>
    <row r="596" spans="1:25">
      <c r="A596" t="s">
        <v>961</v>
      </c>
      <c r="B596" s="2">
        <v>45643</v>
      </c>
      <c r="C596">
        <v>2024</v>
      </c>
      <c r="D596" t="s">
        <v>488</v>
      </c>
      <c r="E596" t="s">
        <v>552</v>
      </c>
      <c r="F596" t="s">
        <v>28</v>
      </c>
      <c r="G596" t="s">
        <v>29</v>
      </c>
      <c r="H596" t="s">
        <v>30</v>
      </c>
      <c r="I596" t="s">
        <v>71</v>
      </c>
      <c r="J596" t="s">
        <v>477</v>
      </c>
      <c r="K596" t="s">
        <v>47</v>
      </c>
      <c r="L596" t="s">
        <v>48</v>
      </c>
      <c r="M596" t="s">
        <v>104</v>
      </c>
      <c r="N596" t="s">
        <v>57</v>
      </c>
      <c r="O596" s="3">
        <v>52.11</v>
      </c>
      <c r="P596">
        <v>3</v>
      </c>
      <c r="Q596" s="4">
        <v>0.2</v>
      </c>
      <c r="R596" s="3">
        <v>125.06399999999999</v>
      </c>
      <c r="S596" s="3">
        <v>31.18</v>
      </c>
      <c r="T596" s="3">
        <v>93.539999999999992</v>
      </c>
      <c r="U596" s="3">
        <v>31.524000000000001</v>
      </c>
      <c r="V596" s="5">
        <v>0.25206294377278837</v>
      </c>
      <c r="W596">
        <v>2</v>
      </c>
      <c r="X596" t="s">
        <v>37</v>
      </c>
      <c r="Y596" s="6">
        <v>4</v>
      </c>
    </row>
    <row r="597" spans="1:25">
      <c r="A597" t="s">
        <v>962</v>
      </c>
      <c r="B597" s="2">
        <v>45644</v>
      </c>
      <c r="C597">
        <v>2024</v>
      </c>
      <c r="D597" t="s">
        <v>488</v>
      </c>
      <c r="E597" t="s">
        <v>552</v>
      </c>
      <c r="F597" t="s">
        <v>28</v>
      </c>
      <c r="G597" t="s">
        <v>29</v>
      </c>
      <c r="H597" t="s">
        <v>30</v>
      </c>
      <c r="I597" t="s">
        <v>31</v>
      </c>
      <c r="J597" t="s">
        <v>207</v>
      </c>
      <c r="K597" t="s">
        <v>33</v>
      </c>
      <c r="L597" t="s">
        <v>73</v>
      </c>
      <c r="M597" t="s">
        <v>138</v>
      </c>
      <c r="N597" t="s">
        <v>57</v>
      </c>
      <c r="O597" s="3">
        <v>335.22</v>
      </c>
      <c r="P597">
        <v>5</v>
      </c>
      <c r="Q597" s="4">
        <v>0.15</v>
      </c>
      <c r="R597" s="3">
        <v>1424.6850000000002</v>
      </c>
      <c r="S597" s="3">
        <v>181.48</v>
      </c>
      <c r="T597" s="3">
        <v>907.4</v>
      </c>
      <c r="U597" s="3">
        <v>517.2850000000002</v>
      </c>
      <c r="V597" s="5">
        <v>0.36308727894236281</v>
      </c>
      <c r="W597">
        <v>5</v>
      </c>
      <c r="X597" t="s">
        <v>37</v>
      </c>
      <c r="Y597" s="6">
        <v>4</v>
      </c>
    </row>
    <row r="598" spans="1:25">
      <c r="A598" t="s">
        <v>963</v>
      </c>
      <c r="B598" s="2">
        <v>45646</v>
      </c>
      <c r="C598">
        <v>2024</v>
      </c>
      <c r="D598" t="s">
        <v>488</v>
      </c>
      <c r="E598" t="s">
        <v>552</v>
      </c>
      <c r="F598" t="s">
        <v>51</v>
      </c>
      <c r="G598" t="s">
        <v>52</v>
      </c>
      <c r="H598" t="s">
        <v>102</v>
      </c>
      <c r="I598" t="s">
        <v>31</v>
      </c>
      <c r="J598" t="s">
        <v>252</v>
      </c>
      <c r="K598" t="s">
        <v>47</v>
      </c>
      <c r="L598" t="s">
        <v>48</v>
      </c>
      <c r="M598" t="s">
        <v>49</v>
      </c>
      <c r="N598" t="s">
        <v>36</v>
      </c>
      <c r="O598" s="3">
        <v>30.6</v>
      </c>
      <c r="P598">
        <v>1</v>
      </c>
      <c r="Q598" s="4">
        <v>0.05</v>
      </c>
      <c r="R598" s="3">
        <v>29.07</v>
      </c>
      <c r="S598" s="3">
        <v>14.42</v>
      </c>
      <c r="T598" s="3">
        <v>14.42</v>
      </c>
      <c r="U598" s="3">
        <v>14.65</v>
      </c>
      <c r="V598" s="5">
        <v>0.5039559683522532</v>
      </c>
      <c r="W598">
        <v>2</v>
      </c>
      <c r="X598" t="s">
        <v>37</v>
      </c>
      <c r="Y598" s="6">
        <v>5</v>
      </c>
    </row>
    <row r="599" spans="1:25">
      <c r="A599" t="s">
        <v>964</v>
      </c>
      <c r="B599" s="2">
        <v>45647</v>
      </c>
      <c r="C599">
        <v>2024</v>
      </c>
      <c r="D599" t="s">
        <v>488</v>
      </c>
      <c r="E599" t="s">
        <v>552</v>
      </c>
      <c r="F599" t="s">
        <v>65</v>
      </c>
      <c r="G599" t="s">
        <v>76</v>
      </c>
      <c r="H599" t="s">
        <v>126</v>
      </c>
      <c r="I599" t="s">
        <v>71</v>
      </c>
      <c r="J599" t="s">
        <v>825</v>
      </c>
      <c r="K599" t="s">
        <v>47</v>
      </c>
      <c r="L599" t="s">
        <v>114</v>
      </c>
      <c r="M599" t="s">
        <v>115</v>
      </c>
      <c r="N599" t="s">
        <v>44</v>
      </c>
      <c r="O599" s="3">
        <v>18.37</v>
      </c>
      <c r="P599">
        <v>3</v>
      </c>
      <c r="Q599" s="4">
        <v>0</v>
      </c>
      <c r="R599" s="3">
        <v>55.11</v>
      </c>
      <c r="S599" s="3">
        <v>6.86</v>
      </c>
      <c r="T599" s="3">
        <v>20.580000000000002</v>
      </c>
      <c r="U599" s="3">
        <v>34.53</v>
      </c>
      <c r="V599" s="5">
        <v>0.6265650517147523</v>
      </c>
      <c r="W599">
        <v>4</v>
      </c>
      <c r="X599" t="s">
        <v>37</v>
      </c>
      <c r="Y599" s="6">
        <v>4</v>
      </c>
    </row>
    <row r="600" spans="1:25">
      <c r="A600" t="s">
        <v>965</v>
      </c>
      <c r="B600" s="2">
        <v>45650</v>
      </c>
      <c r="C600">
        <v>2024</v>
      </c>
      <c r="D600" t="s">
        <v>488</v>
      </c>
      <c r="E600" t="s">
        <v>552</v>
      </c>
      <c r="F600" t="s">
        <v>65</v>
      </c>
      <c r="G600" t="s">
        <v>66</v>
      </c>
      <c r="H600" t="s">
        <v>67</v>
      </c>
      <c r="I600" t="s">
        <v>42</v>
      </c>
      <c r="J600" t="s">
        <v>246</v>
      </c>
      <c r="K600" t="s">
        <v>61</v>
      </c>
      <c r="L600" t="s">
        <v>62</v>
      </c>
      <c r="M600" t="s">
        <v>63</v>
      </c>
      <c r="N600" t="s">
        <v>44</v>
      </c>
      <c r="O600" s="3">
        <v>85.77</v>
      </c>
      <c r="P600">
        <v>5</v>
      </c>
      <c r="Q600" s="4">
        <v>0.2</v>
      </c>
      <c r="R600" s="3">
        <v>343.08</v>
      </c>
      <c r="S600" s="3">
        <v>43.89</v>
      </c>
      <c r="T600" s="3">
        <v>219.45</v>
      </c>
      <c r="U600" s="3">
        <v>123.63</v>
      </c>
      <c r="V600" s="5">
        <v>0.36035327037425674</v>
      </c>
      <c r="W600">
        <v>3</v>
      </c>
      <c r="X600" t="s">
        <v>37</v>
      </c>
      <c r="Y600" s="6">
        <v>4</v>
      </c>
    </row>
    <row r="601" spans="1:25">
      <c r="A601" t="s">
        <v>966</v>
      </c>
      <c r="B601" s="2">
        <v>45651</v>
      </c>
      <c r="C601">
        <v>2024</v>
      </c>
      <c r="D601" t="s">
        <v>488</v>
      </c>
      <c r="E601" t="s">
        <v>552</v>
      </c>
      <c r="F601" t="s">
        <v>51</v>
      </c>
      <c r="G601" t="s">
        <v>97</v>
      </c>
      <c r="H601" t="s">
        <v>98</v>
      </c>
      <c r="I601" t="s">
        <v>71</v>
      </c>
      <c r="J601" t="s">
        <v>217</v>
      </c>
      <c r="K601" t="s">
        <v>47</v>
      </c>
      <c r="L601" t="s">
        <v>48</v>
      </c>
      <c r="M601" t="s">
        <v>49</v>
      </c>
      <c r="N601" t="s">
        <v>36</v>
      </c>
      <c r="O601" s="3">
        <v>31.84</v>
      </c>
      <c r="P601">
        <v>3</v>
      </c>
      <c r="Q601" s="4">
        <v>0</v>
      </c>
      <c r="R601" s="3">
        <v>95.52</v>
      </c>
      <c r="S601" s="3">
        <v>14.42</v>
      </c>
      <c r="T601" s="3">
        <v>43.26</v>
      </c>
      <c r="U601" s="3">
        <v>52.26</v>
      </c>
      <c r="V601" s="5">
        <v>0.54711055276381915</v>
      </c>
      <c r="W601">
        <v>1</v>
      </c>
      <c r="X601" t="s">
        <v>37</v>
      </c>
      <c r="Y601" s="6">
        <v>5</v>
      </c>
    </row>
    <row r="602" spans="1:25">
      <c r="A602" t="s">
        <v>967</v>
      </c>
      <c r="B602" s="2">
        <v>45652</v>
      </c>
      <c r="C602">
        <v>2024</v>
      </c>
      <c r="D602" t="s">
        <v>488</v>
      </c>
      <c r="E602" t="s">
        <v>552</v>
      </c>
      <c r="F602" t="s">
        <v>51</v>
      </c>
      <c r="G602" t="s">
        <v>97</v>
      </c>
      <c r="H602" t="s">
        <v>98</v>
      </c>
      <c r="I602" t="s">
        <v>42</v>
      </c>
      <c r="J602" t="s">
        <v>968</v>
      </c>
      <c r="K602" t="s">
        <v>47</v>
      </c>
      <c r="L602" t="s">
        <v>55</v>
      </c>
      <c r="M602" t="s">
        <v>69</v>
      </c>
      <c r="N602" t="s">
        <v>36</v>
      </c>
      <c r="O602" s="3">
        <v>42.02</v>
      </c>
      <c r="P602">
        <v>7</v>
      </c>
      <c r="Q602" s="4">
        <v>0</v>
      </c>
      <c r="R602" s="3">
        <v>294.14000000000004</v>
      </c>
      <c r="S602" s="3">
        <v>21.44</v>
      </c>
      <c r="T602" s="3">
        <v>150.08000000000001</v>
      </c>
      <c r="U602" s="3">
        <v>144.06000000000003</v>
      </c>
      <c r="V602" s="5">
        <v>0.48976677772489297</v>
      </c>
      <c r="W602">
        <v>2</v>
      </c>
      <c r="X602" t="s">
        <v>37</v>
      </c>
      <c r="Y602" s="6">
        <v>5</v>
      </c>
    </row>
    <row r="603" spans="1:25">
      <c r="A603" t="s">
        <v>969</v>
      </c>
      <c r="B603" s="2">
        <v>45656</v>
      </c>
      <c r="C603">
        <v>2024</v>
      </c>
      <c r="D603" t="s">
        <v>488</v>
      </c>
      <c r="E603" t="s">
        <v>552</v>
      </c>
      <c r="F603" t="s">
        <v>39</v>
      </c>
      <c r="G603" t="s">
        <v>111</v>
      </c>
      <c r="H603" t="s">
        <v>112</v>
      </c>
      <c r="I603" t="s">
        <v>78</v>
      </c>
      <c r="J603" t="s">
        <v>364</v>
      </c>
      <c r="K603" t="s">
        <v>61</v>
      </c>
      <c r="L603" t="s">
        <v>80</v>
      </c>
      <c r="M603" t="s">
        <v>187</v>
      </c>
      <c r="N603" t="s">
        <v>57</v>
      </c>
      <c r="O603" s="3">
        <v>1295.17</v>
      </c>
      <c r="P603">
        <v>3</v>
      </c>
      <c r="Q603" s="4">
        <v>0.05</v>
      </c>
      <c r="R603" s="3">
        <v>3691.2345</v>
      </c>
      <c r="S603" s="3">
        <v>824.94</v>
      </c>
      <c r="T603" s="3">
        <v>2474.8200000000002</v>
      </c>
      <c r="U603" s="3">
        <v>1216.4144999999999</v>
      </c>
      <c r="V603" s="5">
        <v>0.32954137701086178</v>
      </c>
      <c r="W603">
        <v>2</v>
      </c>
      <c r="X603" t="s">
        <v>37</v>
      </c>
      <c r="Y603" s="6">
        <v>5</v>
      </c>
    </row>
    <row r="604" spans="1:25">
      <c r="A604" t="s">
        <v>970</v>
      </c>
      <c r="B604" s="2">
        <v>45660</v>
      </c>
      <c r="C604">
        <v>2025</v>
      </c>
      <c r="D604" t="s">
        <v>26</v>
      </c>
      <c r="E604" t="s">
        <v>27</v>
      </c>
      <c r="F604" t="s">
        <v>28</v>
      </c>
      <c r="G604" t="s">
        <v>29</v>
      </c>
      <c r="H604" t="s">
        <v>30</v>
      </c>
      <c r="I604" t="s">
        <v>78</v>
      </c>
      <c r="J604" t="s">
        <v>643</v>
      </c>
      <c r="K604" t="s">
        <v>47</v>
      </c>
      <c r="L604" t="s">
        <v>48</v>
      </c>
      <c r="M604" t="s">
        <v>49</v>
      </c>
      <c r="N604" t="s">
        <v>44</v>
      </c>
      <c r="O604" s="3">
        <v>31.57</v>
      </c>
      <c r="P604">
        <v>2</v>
      </c>
      <c r="Q604" s="4">
        <v>0.2</v>
      </c>
      <c r="R604" s="3">
        <v>50.512</v>
      </c>
      <c r="S604" s="3">
        <v>14.14</v>
      </c>
      <c r="T604" s="3">
        <v>28.28</v>
      </c>
      <c r="U604" s="3">
        <v>22.231999999999999</v>
      </c>
      <c r="V604" s="5">
        <v>0.4401330376940133</v>
      </c>
      <c r="W604">
        <v>6</v>
      </c>
      <c r="X604" t="s">
        <v>37</v>
      </c>
      <c r="Y604" s="6">
        <v>4</v>
      </c>
    </row>
    <row r="605" spans="1:25">
      <c r="A605" t="s">
        <v>971</v>
      </c>
      <c r="B605" s="2">
        <v>45662</v>
      </c>
      <c r="C605">
        <v>2025</v>
      </c>
      <c r="D605" t="s">
        <v>26</v>
      </c>
      <c r="E605" t="s">
        <v>27</v>
      </c>
      <c r="F605" t="s">
        <v>39</v>
      </c>
      <c r="G605" t="s">
        <v>111</v>
      </c>
      <c r="H605" t="s">
        <v>112</v>
      </c>
      <c r="I605" t="s">
        <v>78</v>
      </c>
      <c r="J605" t="s">
        <v>300</v>
      </c>
      <c r="K605" t="s">
        <v>33</v>
      </c>
      <c r="L605" t="s">
        <v>73</v>
      </c>
      <c r="M605" t="s">
        <v>74</v>
      </c>
      <c r="N605" t="s">
        <v>44</v>
      </c>
      <c r="O605" s="3">
        <v>699.71</v>
      </c>
      <c r="P605">
        <v>1</v>
      </c>
      <c r="Q605" s="4">
        <v>0.05</v>
      </c>
      <c r="R605" s="3">
        <v>664.72450000000003</v>
      </c>
      <c r="S605" s="3">
        <v>414.54</v>
      </c>
      <c r="T605" s="3">
        <v>414.54</v>
      </c>
      <c r="U605" s="3">
        <v>250.18450000000001</v>
      </c>
      <c r="V605" s="5">
        <v>0.37637321928107059</v>
      </c>
      <c r="W605">
        <v>7</v>
      </c>
      <c r="X605" t="s">
        <v>37</v>
      </c>
      <c r="Y605" s="6">
        <v>4</v>
      </c>
    </row>
    <row r="606" spans="1:25">
      <c r="A606" t="s">
        <v>972</v>
      </c>
      <c r="B606" s="2">
        <v>45662</v>
      </c>
      <c r="C606">
        <v>2025</v>
      </c>
      <c r="D606" t="s">
        <v>26</v>
      </c>
      <c r="E606" t="s">
        <v>27</v>
      </c>
      <c r="F606" t="s">
        <v>39</v>
      </c>
      <c r="G606" t="s">
        <v>91</v>
      </c>
      <c r="H606" t="s">
        <v>92</v>
      </c>
      <c r="I606" t="s">
        <v>71</v>
      </c>
      <c r="J606" t="s">
        <v>276</v>
      </c>
      <c r="K606" t="s">
        <v>47</v>
      </c>
      <c r="L606" t="s">
        <v>48</v>
      </c>
      <c r="M606" t="s">
        <v>49</v>
      </c>
      <c r="N606" t="s">
        <v>57</v>
      </c>
      <c r="O606" s="3">
        <v>31.18</v>
      </c>
      <c r="P606">
        <v>2</v>
      </c>
      <c r="Q606" s="4">
        <v>0.15</v>
      </c>
      <c r="R606" s="3">
        <v>53.006</v>
      </c>
      <c r="S606" s="3">
        <v>14.04</v>
      </c>
      <c r="T606" s="3">
        <v>28.08</v>
      </c>
      <c r="U606" s="3">
        <v>24.926000000000002</v>
      </c>
      <c r="V606" s="5">
        <v>0.47024865109610237</v>
      </c>
      <c r="W606">
        <v>6</v>
      </c>
      <c r="X606" t="s">
        <v>37</v>
      </c>
      <c r="Y606" s="6">
        <v>4</v>
      </c>
    </row>
    <row r="607" spans="1:25">
      <c r="A607" t="s">
        <v>973</v>
      </c>
      <c r="B607" s="2">
        <v>45663</v>
      </c>
      <c r="C607">
        <v>2025</v>
      </c>
      <c r="D607" t="s">
        <v>26</v>
      </c>
      <c r="E607" t="s">
        <v>27</v>
      </c>
      <c r="F607" t="s">
        <v>28</v>
      </c>
      <c r="G607" t="s">
        <v>29</v>
      </c>
      <c r="H607" t="s">
        <v>30</v>
      </c>
      <c r="I607" t="s">
        <v>78</v>
      </c>
      <c r="J607" t="s">
        <v>333</v>
      </c>
      <c r="K607" t="s">
        <v>47</v>
      </c>
      <c r="L607" t="s">
        <v>114</v>
      </c>
      <c r="M607" t="s">
        <v>115</v>
      </c>
      <c r="N607" t="s">
        <v>57</v>
      </c>
      <c r="O607" s="3">
        <v>18.16</v>
      </c>
      <c r="P607">
        <v>4</v>
      </c>
      <c r="Q607" s="4">
        <v>0</v>
      </c>
      <c r="R607" s="3">
        <v>72.64</v>
      </c>
      <c r="S607" s="3">
        <v>7.18</v>
      </c>
      <c r="T607" s="3">
        <v>28.72</v>
      </c>
      <c r="U607" s="3">
        <v>43.92</v>
      </c>
      <c r="V607" s="5">
        <v>0.60462555066079293</v>
      </c>
      <c r="W607">
        <v>2</v>
      </c>
      <c r="X607" t="s">
        <v>37</v>
      </c>
      <c r="Y607" s="6">
        <v>4</v>
      </c>
    </row>
    <row r="608" spans="1:25">
      <c r="A608" t="s">
        <v>974</v>
      </c>
      <c r="B608" s="2">
        <v>45665</v>
      </c>
      <c r="C608">
        <v>2025</v>
      </c>
      <c r="D608" t="s">
        <v>26</v>
      </c>
      <c r="E608" t="s">
        <v>27</v>
      </c>
      <c r="F608" t="s">
        <v>65</v>
      </c>
      <c r="G608" t="s">
        <v>66</v>
      </c>
      <c r="H608" t="s">
        <v>67</v>
      </c>
      <c r="I608" t="s">
        <v>42</v>
      </c>
      <c r="J608" t="s">
        <v>676</v>
      </c>
      <c r="K608" t="s">
        <v>47</v>
      </c>
      <c r="L608" t="s">
        <v>114</v>
      </c>
      <c r="M608" t="s">
        <v>115</v>
      </c>
      <c r="N608" t="s">
        <v>44</v>
      </c>
      <c r="O608" s="3">
        <v>18.010000000000002</v>
      </c>
      <c r="P608">
        <v>9</v>
      </c>
      <c r="Q608" s="4">
        <v>0</v>
      </c>
      <c r="R608" s="3">
        <v>162.09</v>
      </c>
      <c r="S608" s="3">
        <v>6.8</v>
      </c>
      <c r="T608" s="3">
        <v>61.199999999999996</v>
      </c>
      <c r="U608" s="3">
        <v>100.89000000000001</v>
      </c>
      <c r="V608" s="5">
        <v>0.62243198223209339</v>
      </c>
      <c r="W608">
        <v>7</v>
      </c>
      <c r="X608" t="s">
        <v>37</v>
      </c>
      <c r="Y608" s="6">
        <v>4</v>
      </c>
    </row>
    <row r="609" spans="1:25">
      <c r="A609" t="s">
        <v>975</v>
      </c>
      <c r="B609" s="2">
        <v>45666</v>
      </c>
      <c r="C609">
        <v>2025</v>
      </c>
      <c r="D609" t="s">
        <v>26</v>
      </c>
      <c r="E609" t="s">
        <v>27</v>
      </c>
      <c r="F609" t="s">
        <v>65</v>
      </c>
      <c r="G609" t="s">
        <v>76</v>
      </c>
      <c r="H609" t="s">
        <v>77</v>
      </c>
      <c r="I609" t="s">
        <v>42</v>
      </c>
      <c r="J609" t="s">
        <v>779</v>
      </c>
      <c r="K609" t="s">
        <v>33</v>
      </c>
      <c r="L609" t="s">
        <v>88</v>
      </c>
      <c r="M609" t="s">
        <v>100</v>
      </c>
      <c r="N609" t="s">
        <v>44</v>
      </c>
      <c r="O609" s="3">
        <v>313.31</v>
      </c>
      <c r="P609">
        <v>3</v>
      </c>
      <c r="Q609" s="4">
        <v>0.2</v>
      </c>
      <c r="R609" s="3">
        <v>751.94400000000007</v>
      </c>
      <c r="S609" s="3">
        <v>154.83000000000001</v>
      </c>
      <c r="T609" s="3">
        <v>464.49</v>
      </c>
      <c r="U609" s="3">
        <v>287.45400000000006</v>
      </c>
      <c r="V609" s="5">
        <v>0.3822811273179918</v>
      </c>
      <c r="W609">
        <v>1</v>
      </c>
      <c r="X609" t="s">
        <v>58</v>
      </c>
      <c r="Y609" s="6">
        <v>4</v>
      </c>
    </row>
    <row r="610" spans="1:25">
      <c r="A610" t="s">
        <v>976</v>
      </c>
      <c r="B610" s="2">
        <v>45667</v>
      </c>
      <c r="C610">
        <v>2025</v>
      </c>
      <c r="D610" t="s">
        <v>26</v>
      </c>
      <c r="E610" t="s">
        <v>27</v>
      </c>
      <c r="F610" t="s">
        <v>28</v>
      </c>
      <c r="G610" t="s">
        <v>29</v>
      </c>
      <c r="H610" t="s">
        <v>30</v>
      </c>
      <c r="I610" t="s">
        <v>42</v>
      </c>
      <c r="J610" t="s">
        <v>977</v>
      </c>
      <c r="K610" t="s">
        <v>47</v>
      </c>
      <c r="L610" t="s">
        <v>114</v>
      </c>
      <c r="M610" t="s">
        <v>120</v>
      </c>
      <c r="N610" t="s">
        <v>44</v>
      </c>
      <c r="O610" s="3">
        <v>26.67</v>
      </c>
      <c r="P610">
        <v>10</v>
      </c>
      <c r="Q610" s="4">
        <v>0</v>
      </c>
      <c r="R610" s="3">
        <v>266.70000000000005</v>
      </c>
      <c r="S610" s="3">
        <v>10.8</v>
      </c>
      <c r="T610" s="3">
        <v>108</v>
      </c>
      <c r="U610" s="3">
        <v>158.70000000000005</v>
      </c>
      <c r="V610" s="5">
        <v>0.59505061867266595</v>
      </c>
      <c r="W610">
        <v>3</v>
      </c>
      <c r="X610" t="s">
        <v>37</v>
      </c>
      <c r="Y610" s="6">
        <v>4</v>
      </c>
    </row>
    <row r="611" spans="1:25">
      <c r="A611" t="s">
        <v>978</v>
      </c>
      <c r="B611" s="2">
        <v>45668</v>
      </c>
      <c r="C611">
        <v>2025</v>
      </c>
      <c r="D611" t="s">
        <v>26</v>
      </c>
      <c r="E611" t="s">
        <v>27</v>
      </c>
      <c r="F611" t="s">
        <v>51</v>
      </c>
      <c r="G611" t="s">
        <v>52</v>
      </c>
      <c r="H611" t="s">
        <v>53</v>
      </c>
      <c r="I611" t="s">
        <v>31</v>
      </c>
      <c r="J611" t="s">
        <v>704</v>
      </c>
      <c r="K611" t="s">
        <v>61</v>
      </c>
      <c r="L611" t="s">
        <v>62</v>
      </c>
      <c r="M611" t="s">
        <v>195</v>
      </c>
      <c r="N611" t="s">
        <v>44</v>
      </c>
      <c r="O611" s="3">
        <v>71.760000000000005</v>
      </c>
      <c r="P611">
        <v>3</v>
      </c>
      <c r="Q611" s="4">
        <v>0</v>
      </c>
      <c r="R611" s="3">
        <v>215.28000000000003</v>
      </c>
      <c r="S611" s="3">
        <v>32.46</v>
      </c>
      <c r="T611" s="3">
        <v>97.38</v>
      </c>
      <c r="U611" s="3">
        <v>117.90000000000003</v>
      </c>
      <c r="V611" s="5">
        <v>0.54765886287625432</v>
      </c>
      <c r="W611">
        <v>9</v>
      </c>
      <c r="X611" t="s">
        <v>37</v>
      </c>
      <c r="Y611" s="6">
        <v>4</v>
      </c>
    </row>
    <row r="612" spans="1:25">
      <c r="A612" t="s">
        <v>979</v>
      </c>
      <c r="B612" s="2">
        <v>45668</v>
      </c>
      <c r="C612">
        <v>2025</v>
      </c>
      <c r="D612" t="s">
        <v>26</v>
      </c>
      <c r="E612" t="s">
        <v>27</v>
      </c>
      <c r="F612" t="s">
        <v>28</v>
      </c>
      <c r="G612" t="s">
        <v>29</v>
      </c>
      <c r="H612" t="s">
        <v>60</v>
      </c>
      <c r="I612" t="s">
        <v>42</v>
      </c>
      <c r="J612" t="s">
        <v>770</v>
      </c>
      <c r="K612" t="s">
        <v>33</v>
      </c>
      <c r="L612" t="s">
        <v>73</v>
      </c>
      <c r="M612" t="s">
        <v>74</v>
      </c>
      <c r="N612" t="s">
        <v>44</v>
      </c>
      <c r="O612" s="3">
        <v>691.83</v>
      </c>
      <c r="P612">
        <v>1</v>
      </c>
      <c r="Q612" s="4">
        <v>0</v>
      </c>
      <c r="R612" s="3">
        <v>691.83</v>
      </c>
      <c r="S612" s="3">
        <v>430.05</v>
      </c>
      <c r="T612" s="3">
        <v>430.05</v>
      </c>
      <c r="U612" s="3">
        <v>261.78000000000003</v>
      </c>
      <c r="V612" s="5">
        <v>0.37838775421707649</v>
      </c>
      <c r="W612">
        <v>2</v>
      </c>
      <c r="X612" t="s">
        <v>37</v>
      </c>
      <c r="Y612" s="6">
        <v>4</v>
      </c>
    </row>
    <row r="613" spans="1:25">
      <c r="A613" t="s">
        <v>980</v>
      </c>
      <c r="B613" s="2">
        <v>45670</v>
      </c>
      <c r="C613">
        <v>2025</v>
      </c>
      <c r="D613" t="s">
        <v>26</v>
      </c>
      <c r="E613" t="s">
        <v>27</v>
      </c>
      <c r="F613" t="s">
        <v>28</v>
      </c>
      <c r="G613" t="s">
        <v>29</v>
      </c>
      <c r="H613" t="s">
        <v>30</v>
      </c>
      <c r="I613" t="s">
        <v>31</v>
      </c>
      <c r="J613" t="s">
        <v>535</v>
      </c>
      <c r="K613" t="s">
        <v>47</v>
      </c>
      <c r="L613" t="s">
        <v>55</v>
      </c>
      <c r="M613" t="s">
        <v>69</v>
      </c>
      <c r="N613" t="s">
        <v>44</v>
      </c>
      <c r="O613" s="3">
        <v>43.09</v>
      </c>
      <c r="P613">
        <v>7</v>
      </c>
      <c r="Q613" s="4">
        <v>0.1</v>
      </c>
      <c r="R613" s="3">
        <v>271.46699999999998</v>
      </c>
      <c r="S613" s="3">
        <v>21.49</v>
      </c>
      <c r="T613" s="3">
        <v>150.42999999999998</v>
      </c>
      <c r="U613" s="3">
        <v>121.03700000000001</v>
      </c>
      <c r="V613" s="5">
        <v>0.44586266470694419</v>
      </c>
      <c r="W613">
        <v>1</v>
      </c>
      <c r="X613" t="s">
        <v>37</v>
      </c>
      <c r="Y613" s="6">
        <v>5</v>
      </c>
    </row>
    <row r="614" spans="1:25">
      <c r="A614" t="s">
        <v>981</v>
      </c>
      <c r="B614" s="2">
        <v>45671</v>
      </c>
      <c r="C614">
        <v>2025</v>
      </c>
      <c r="D614" t="s">
        <v>26</v>
      </c>
      <c r="E614" t="s">
        <v>27</v>
      </c>
      <c r="F614" t="s">
        <v>39</v>
      </c>
      <c r="G614" t="s">
        <v>111</v>
      </c>
      <c r="H614" t="s">
        <v>112</v>
      </c>
      <c r="I614" t="s">
        <v>71</v>
      </c>
      <c r="J614" t="s">
        <v>364</v>
      </c>
      <c r="K614" t="s">
        <v>33</v>
      </c>
      <c r="L614" t="s">
        <v>34</v>
      </c>
      <c r="M614" t="s">
        <v>150</v>
      </c>
      <c r="N614" t="s">
        <v>36</v>
      </c>
      <c r="O614" s="3">
        <v>422.75</v>
      </c>
      <c r="P614">
        <v>2</v>
      </c>
      <c r="Q614" s="4">
        <v>0.15</v>
      </c>
      <c r="R614" s="3">
        <v>718.67499999999995</v>
      </c>
      <c r="S614" s="3">
        <v>253.53</v>
      </c>
      <c r="T614" s="3">
        <v>507.06</v>
      </c>
      <c r="U614" s="3">
        <v>211.61499999999995</v>
      </c>
      <c r="V614" s="5">
        <v>0.29445159494903811</v>
      </c>
      <c r="W614">
        <v>6</v>
      </c>
      <c r="X614" t="s">
        <v>37</v>
      </c>
      <c r="Y614" s="6">
        <v>4</v>
      </c>
    </row>
    <row r="615" spans="1:25">
      <c r="A615" t="s">
        <v>982</v>
      </c>
      <c r="B615" s="2">
        <v>45672</v>
      </c>
      <c r="C615">
        <v>2025</v>
      </c>
      <c r="D615" t="s">
        <v>26</v>
      </c>
      <c r="E615" t="s">
        <v>27</v>
      </c>
      <c r="F615" t="s">
        <v>51</v>
      </c>
      <c r="G615" t="s">
        <v>97</v>
      </c>
      <c r="H615" t="s">
        <v>98</v>
      </c>
      <c r="I615" t="s">
        <v>31</v>
      </c>
      <c r="J615" t="s">
        <v>434</v>
      </c>
      <c r="K615" t="s">
        <v>61</v>
      </c>
      <c r="L615" t="s">
        <v>84</v>
      </c>
      <c r="M615" t="s">
        <v>135</v>
      </c>
      <c r="N615" t="s">
        <v>57</v>
      </c>
      <c r="O615" s="3">
        <v>875.42</v>
      </c>
      <c r="P615">
        <v>3</v>
      </c>
      <c r="Q615" s="4">
        <v>0</v>
      </c>
      <c r="R615" s="3">
        <v>2626.2599999999998</v>
      </c>
      <c r="S615" s="3">
        <v>554.36</v>
      </c>
      <c r="T615" s="3">
        <v>1663.08</v>
      </c>
      <c r="U615" s="3">
        <v>963.17999999999984</v>
      </c>
      <c r="V615" s="5">
        <v>0.36674967444198209</v>
      </c>
      <c r="W615">
        <v>5</v>
      </c>
      <c r="X615" t="s">
        <v>37</v>
      </c>
      <c r="Y615" s="6">
        <v>4</v>
      </c>
    </row>
    <row r="616" spans="1:25">
      <c r="A616" t="s">
        <v>983</v>
      </c>
      <c r="B616" s="2">
        <v>45673</v>
      </c>
      <c r="C616">
        <v>2025</v>
      </c>
      <c r="D616" t="s">
        <v>26</v>
      </c>
      <c r="E616" t="s">
        <v>27</v>
      </c>
      <c r="F616" t="s">
        <v>65</v>
      </c>
      <c r="G616" t="s">
        <v>76</v>
      </c>
      <c r="H616" t="s">
        <v>126</v>
      </c>
      <c r="I616" t="s">
        <v>78</v>
      </c>
      <c r="J616" t="s">
        <v>381</v>
      </c>
      <c r="K616" t="s">
        <v>47</v>
      </c>
      <c r="L616" t="s">
        <v>55</v>
      </c>
      <c r="M616" t="s">
        <v>56</v>
      </c>
      <c r="N616" t="s">
        <v>36</v>
      </c>
      <c r="O616" s="3">
        <v>37.119999999999997</v>
      </c>
      <c r="P616">
        <v>9</v>
      </c>
      <c r="Q616" s="4">
        <v>0.05</v>
      </c>
      <c r="R616" s="3">
        <v>317.37599999999998</v>
      </c>
      <c r="S616" s="3">
        <v>16.850000000000001</v>
      </c>
      <c r="T616" s="3">
        <v>151.65</v>
      </c>
      <c r="U616" s="3">
        <v>165.72599999999997</v>
      </c>
      <c r="V616" s="5">
        <v>0.52217558983666057</v>
      </c>
      <c r="W616">
        <v>1</v>
      </c>
      <c r="X616" t="s">
        <v>37</v>
      </c>
      <c r="Y616" s="6">
        <v>5</v>
      </c>
    </row>
    <row r="617" spans="1:25">
      <c r="A617" t="s">
        <v>984</v>
      </c>
      <c r="B617" s="2">
        <v>45675</v>
      </c>
      <c r="C617">
        <v>2025</v>
      </c>
      <c r="D617" t="s">
        <v>26</v>
      </c>
      <c r="E617" t="s">
        <v>27</v>
      </c>
      <c r="F617" t="s">
        <v>65</v>
      </c>
      <c r="G617" t="s">
        <v>76</v>
      </c>
      <c r="H617" t="s">
        <v>77</v>
      </c>
      <c r="I617" t="s">
        <v>31</v>
      </c>
      <c r="J617" t="s">
        <v>68</v>
      </c>
      <c r="K617" t="s">
        <v>33</v>
      </c>
      <c r="L617" t="s">
        <v>34</v>
      </c>
      <c r="M617" t="s">
        <v>35</v>
      </c>
      <c r="N617" t="s">
        <v>36</v>
      </c>
      <c r="O617" s="3">
        <v>176.08</v>
      </c>
      <c r="P617">
        <v>2</v>
      </c>
      <c r="Q617" s="4">
        <v>0.05</v>
      </c>
      <c r="R617" s="3">
        <v>334.55200000000002</v>
      </c>
      <c r="S617" s="3">
        <v>92.19</v>
      </c>
      <c r="T617" s="3">
        <v>184.38</v>
      </c>
      <c r="U617" s="3">
        <v>150.17200000000003</v>
      </c>
      <c r="V617" s="5">
        <v>0.44887491331691343</v>
      </c>
      <c r="W617">
        <v>5</v>
      </c>
      <c r="X617" t="s">
        <v>37</v>
      </c>
      <c r="Y617" s="6">
        <v>4</v>
      </c>
    </row>
    <row r="618" spans="1:25">
      <c r="A618" t="s">
        <v>985</v>
      </c>
      <c r="B618" s="2">
        <v>45675</v>
      </c>
      <c r="C618">
        <v>2025</v>
      </c>
      <c r="D618" t="s">
        <v>26</v>
      </c>
      <c r="E618" t="s">
        <v>27</v>
      </c>
      <c r="F618" t="s">
        <v>39</v>
      </c>
      <c r="G618" t="s">
        <v>40</v>
      </c>
      <c r="H618" t="s">
        <v>41</v>
      </c>
      <c r="I618" t="s">
        <v>42</v>
      </c>
      <c r="J618" t="s">
        <v>317</v>
      </c>
      <c r="K618" t="s">
        <v>61</v>
      </c>
      <c r="L618" t="s">
        <v>84</v>
      </c>
      <c r="M618" t="s">
        <v>135</v>
      </c>
      <c r="N618" t="s">
        <v>36</v>
      </c>
      <c r="O618" s="3">
        <v>930.71</v>
      </c>
      <c r="P618">
        <v>1</v>
      </c>
      <c r="Q618" s="4">
        <v>0.15</v>
      </c>
      <c r="R618" s="3">
        <v>791.10350000000005</v>
      </c>
      <c r="S618" s="3">
        <v>572.12</v>
      </c>
      <c r="T618" s="3">
        <v>572.12</v>
      </c>
      <c r="U618" s="3">
        <v>218.98350000000005</v>
      </c>
      <c r="V618" s="5">
        <v>0.27680764906235411</v>
      </c>
      <c r="W618">
        <v>6</v>
      </c>
      <c r="X618" t="s">
        <v>37</v>
      </c>
      <c r="Y618" s="6">
        <v>5</v>
      </c>
    </row>
    <row r="619" spans="1:25">
      <c r="A619" t="s">
        <v>986</v>
      </c>
      <c r="B619" s="2">
        <v>45676</v>
      </c>
      <c r="C619">
        <v>2025</v>
      </c>
      <c r="D619" t="s">
        <v>26</v>
      </c>
      <c r="E619" t="s">
        <v>27</v>
      </c>
      <c r="F619" t="s">
        <v>65</v>
      </c>
      <c r="G619" t="s">
        <v>76</v>
      </c>
      <c r="H619" t="s">
        <v>126</v>
      </c>
      <c r="I619" t="s">
        <v>71</v>
      </c>
      <c r="J619" t="s">
        <v>154</v>
      </c>
      <c r="K619" t="s">
        <v>47</v>
      </c>
      <c r="L619" t="s">
        <v>55</v>
      </c>
      <c r="M619" t="s">
        <v>56</v>
      </c>
      <c r="N619" t="s">
        <v>57</v>
      </c>
      <c r="O619" s="3">
        <v>38.64</v>
      </c>
      <c r="P619">
        <v>3</v>
      </c>
      <c r="Q619" s="4">
        <v>0</v>
      </c>
      <c r="R619" s="3">
        <v>115.92</v>
      </c>
      <c r="S619" s="3">
        <v>17.09</v>
      </c>
      <c r="T619" s="3">
        <v>51.269999999999996</v>
      </c>
      <c r="U619" s="3">
        <v>64.650000000000006</v>
      </c>
      <c r="V619" s="5">
        <v>0.55771221532091098</v>
      </c>
      <c r="W619">
        <v>1</v>
      </c>
      <c r="X619" t="s">
        <v>37</v>
      </c>
      <c r="Y619" s="6">
        <v>5</v>
      </c>
    </row>
    <row r="620" spans="1:25">
      <c r="A620" t="s">
        <v>987</v>
      </c>
      <c r="B620" s="2">
        <v>45677</v>
      </c>
      <c r="C620">
        <v>2025</v>
      </c>
      <c r="D620" t="s">
        <v>26</v>
      </c>
      <c r="E620" t="s">
        <v>27</v>
      </c>
      <c r="F620" t="s">
        <v>65</v>
      </c>
      <c r="G620" t="s">
        <v>76</v>
      </c>
      <c r="H620" t="s">
        <v>126</v>
      </c>
      <c r="I620" t="s">
        <v>31</v>
      </c>
      <c r="J620" t="s">
        <v>988</v>
      </c>
      <c r="K620" t="s">
        <v>47</v>
      </c>
      <c r="L620" t="s">
        <v>114</v>
      </c>
      <c r="M620" t="s">
        <v>115</v>
      </c>
      <c r="N620" t="s">
        <v>57</v>
      </c>
      <c r="O620" s="3">
        <v>18.21</v>
      </c>
      <c r="P620">
        <v>9</v>
      </c>
      <c r="Q620" s="4">
        <v>0</v>
      </c>
      <c r="R620" s="3">
        <v>163.89000000000001</v>
      </c>
      <c r="S620" s="3">
        <v>7.08</v>
      </c>
      <c r="T620" s="3">
        <v>63.72</v>
      </c>
      <c r="U620" s="3">
        <v>100.17000000000002</v>
      </c>
      <c r="V620" s="5">
        <v>0.61120263591433288</v>
      </c>
      <c r="W620">
        <v>2</v>
      </c>
      <c r="X620" t="s">
        <v>37</v>
      </c>
      <c r="Y620" s="6">
        <v>5</v>
      </c>
    </row>
    <row r="621" spans="1:25">
      <c r="A621" t="s">
        <v>989</v>
      </c>
      <c r="B621" s="2">
        <v>45678</v>
      </c>
      <c r="C621">
        <v>2025</v>
      </c>
      <c r="D621" t="s">
        <v>26</v>
      </c>
      <c r="E621" t="s">
        <v>27</v>
      </c>
      <c r="F621" t="s">
        <v>65</v>
      </c>
      <c r="G621" t="s">
        <v>66</v>
      </c>
      <c r="H621" t="s">
        <v>67</v>
      </c>
      <c r="I621" t="s">
        <v>31</v>
      </c>
      <c r="J621" t="s">
        <v>990</v>
      </c>
      <c r="K621" t="s">
        <v>61</v>
      </c>
      <c r="L621" t="s">
        <v>62</v>
      </c>
      <c r="M621" t="s">
        <v>63</v>
      </c>
      <c r="N621" t="s">
        <v>57</v>
      </c>
      <c r="O621" s="3">
        <v>91.03</v>
      </c>
      <c r="P621">
        <v>4</v>
      </c>
      <c r="Q621" s="4">
        <v>0</v>
      </c>
      <c r="R621" s="3">
        <v>364.12</v>
      </c>
      <c r="S621" s="3">
        <v>44.39</v>
      </c>
      <c r="T621" s="3">
        <v>177.56</v>
      </c>
      <c r="U621" s="3">
        <v>186.56</v>
      </c>
      <c r="V621" s="5">
        <v>0.51235856311106232</v>
      </c>
      <c r="W621">
        <v>6</v>
      </c>
      <c r="X621" t="s">
        <v>37</v>
      </c>
      <c r="Y621" s="6">
        <v>4</v>
      </c>
    </row>
    <row r="622" spans="1:25">
      <c r="A622" t="s">
        <v>991</v>
      </c>
      <c r="B622" s="2">
        <v>45679</v>
      </c>
      <c r="C622">
        <v>2025</v>
      </c>
      <c r="D622" t="s">
        <v>26</v>
      </c>
      <c r="E622" t="s">
        <v>27</v>
      </c>
      <c r="F622" t="s">
        <v>51</v>
      </c>
      <c r="G622" t="s">
        <v>52</v>
      </c>
      <c r="H622" t="s">
        <v>53</v>
      </c>
      <c r="I622" t="s">
        <v>31</v>
      </c>
      <c r="J622" t="s">
        <v>608</v>
      </c>
      <c r="K622" t="s">
        <v>47</v>
      </c>
      <c r="L622" t="s">
        <v>48</v>
      </c>
      <c r="M622" t="s">
        <v>49</v>
      </c>
      <c r="N622" t="s">
        <v>57</v>
      </c>
      <c r="O622" s="3">
        <v>31.44</v>
      </c>
      <c r="P622">
        <v>11</v>
      </c>
      <c r="Q622" s="4">
        <v>0</v>
      </c>
      <c r="R622" s="3">
        <v>345.84000000000003</v>
      </c>
      <c r="S622" s="3">
        <v>13.61</v>
      </c>
      <c r="T622" s="3">
        <v>149.70999999999998</v>
      </c>
      <c r="U622" s="3">
        <v>196.13000000000005</v>
      </c>
      <c r="V622" s="5">
        <v>0.56711195928753189</v>
      </c>
      <c r="W622">
        <v>3</v>
      </c>
      <c r="X622" t="s">
        <v>37</v>
      </c>
      <c r="Y622" s="6">
        <v>5</v>
      </c>
    </row>
    <row r="623" spans="1:25">
      <c r="A623" t="s">
        <v>992</v>
      </c>
      <c r="B623" s="2">
        <v>45680</v>
      </c>
      <c r="C623">
        <v>2025</v>
      </c>
      <c r="D623" t="s">
        <v>26</v>
      </c>
      <c r="E623" t="s">
        <v>27</v>
      </c>
      <c r="F623" t="s">
        <v>51</v>
      </c>
      <c r="G623" t="s">
        <v>52</v>
      </c>
      <c r="H623" t="s">
        <v>102</v>
      </c>
      <c r="I623" t="s">
        <v>78</v>
      </c>
      <c r="J623" t="s">
        <v>46</v>
      </c>
      <c r="K623" t="s">
        <v>47</v>
      </c>
      <c r="L623" t="s">
        <v>48</v>
      </c>
      <c r="M623" t="s">
        <v>49</v>
      </c>
      <c r="N623" t="s">
        <v>44</v>
      </c>
      <c r="O623" s="3">
        <v>31.06</v>
      </c>
      <c r="P623">
        <v>4</v>
      </c>
      <c r="Q623" s="4">
        <v>0</v>
      </c>
      <c r="R623" s="3">
        <v>124.24</v>
      </c>
      <c r="S623" s="3">
        <v>14.27</v>
      </c>
      <c r="T623" s="3">
        <v>57.08</v>
      </c>
      <c r="U623" s="3">
        <v>67.16</v>
      </c>
      <c r="V623" s="5">
        <v>0.54056664520283326</v>
      </c>
      <c r="W623">
        <v>10</v>
      </c>
      <c r="X623" t="s">
        <v>37</v>
      </c>
      <c r="Y623" s="6">
        <v>3</v>
      </c>
    </row>
    <row r="624" spans="1:25">
      <c r="A624" t="s">
        <v>993</v>
      </c>
      <c r="B624" s="2">
        <v>45680</v>
      </c>
      <c r="C624">
        <v>2025</v>
      </c>
      <c r="D624" t="s">
        <v>26</v>
      </c>
      <c r="E624" t="s">
        <v>27</v>
      </c>
      <c r="F624" t="s">
        <v>39</v>
      </c>
      <c r="G624" t="s">
        <v>91</v>
      </c>
      <c r="H624" t="s">
        <v>92</v>
      </c>
      <c r="I624" t="s">
        <v>42</v>
      </c>
      <c r="J624" t="s">
        <v>367</v>
      </c>
      <c r="K624" t="s">
        <v>47</v>
      </c>
      <c r="L624" t="s">
        <v>48</v>
      </c>
      <c r="M624" t="s">
        <v>49</v>
      </c>
      <c r="N624" t="s">
        <v>36</v>
      </c>
      <c r="O624" s="3">
        <v>30.6</v>
      </c>
      <c r="P624">
        <v>6</v>
      </c>
      <c r="Q624" s="4">
        <v>0</v>
      </c>
      <c r="R624" s="3">
        <v>183.60000000000002</v>
      </c>
      <c r="S624" s="3">
        <v>13.87</v>
      </c>
      <c r="T624" s="3">
        <v>83.22</v>
      </c>
      <c r="U624" s="3">
        <v>100.38000000000002</v>
      </c>
      <c r="V624" s="5">
        <v>0.54673202614379091</v>
      </c>
      <c r="W624">
        <v>7</v>
      </c>
      <c r="X624" t="s">
        <v>37</v>
      </c>
      <c r="Y624" s="6">
        <v>4</v>
      </c>
    </row>
    <row r="625" spans="1:25">
      <c r="A625" t="s">
        <v>994</v>
      </c>
      <c r="B625" s="2">
        <v>45681</v>
      </c>
      <c r="C625">
        <v>2025</v>
      </c>
      <c r="D625" t="s">
        <v>26</v>
      </c>
      <c r="E625" t="s">
        <v>27</v>
      </c>
      <c r="F625" t="s">
        <v>39</v>
      </c>
      <c r="G625" t="s">
        <v>91</v>
      </c>
      <c r="H625" t="s">
        <v>92</v>
      </c>
      <c r="I625" t="s">
        <v>31</v>
      </c>
      <c r="J625" t="s">
        <v>995</v>
      </c>
      <c r="K625" t="s">
        <v>33</v>
      </c>
      <c r="L625" t="s">
        <v>88</v>
      </c>
      <c r="M625" t="s">
        <v>100</v>
      </c>
      <c r="N625" t="s">
        <v>57</v>
      </c>
      <c r="O625" s="3">
        <v>312.12</v>
      </c>
      <c r="P625">
        <v>2</v>
      </c>
      <c r="Q625" s="4">
        <v>0</v>
      </c>
      <c r="R625" s="3">
        <v>624.24</v>
      </c>
      <c r="S625" s="3">
        <v>155.5</v>
      </c>
      <c r="T625" s="3">
        <v>311</v>
      </c>
      <c r="U625" s="3">
        <v>313.24</v>
      </c>
      <c r="V625" s="5">
        <v>0.50179418172497758</v>
      </c>
      <c r="W625">
        <v>5</v>
      </c>
      <c r="X625" t="s">
        <v>37</v>
      </c>
      <c r="Y625" s="6">
        <v>4</v>
      </c>
    </row>
    <row r="626" spans="1:25">
      <c r="A626" t="s">
        <v>996</v>
      </c>
      <c r="B626" s="2">
        <v>45681</v>
      </c>
      <c r="C626">
        <v>2025</v>
      </c>
      <c r="D626" t="s">
        <v>26</v>
      </c>
      <c r="E626" t="s">
        <v>27</v>
      </c>
      <c r="F626" t="s">
        <v>39</v>
      </c>
      <c r="G626" t="s">
        <v>91</v>
      </c>
      <c r="H626" t="s">
        <v>92</v>
      </c>
      <c r="I626" t="s">
        <v>31</v>
      </c>
      <c r="J626" t="s">
        <v>562</v>
      </c>
      <c r="K626" t="s">
        <v>33</v>
      </c>
      <c r="L626" t="s">
        <v>34</v>
      </c>
      <c r="M626" t="s">
        <v>35</v>
      </c>
      <c r="N626" t="s">
        <v>57</v>
      </c>
      <c r="O626" s="3">
        <v>179.65</v>
      </c>
      <c r="P626">
        <v>3</v>
      </c>
      <c r="Q626" s="4">
        <v>0.2</v>
      </c>
      <c r="R626" s="3">
        <v>431.16000000000008</v>
      </c>
      <c r="S626" s="3">
        <v>91.08</v>
      </c>
      <c r="T626" s="3">
        <v>273.24</v>
      </c>
      <c r="U626" s="3">
        <v>157.92000000000007</v>
      </c>
      <c r="V626" s="5">
        <v>0.36626774283328706</v>
      </c>
      <c r="W626">
        <v>4</v>
      </c>
      <c r="X626" t="s">
        <v>37</v>
      </c>
      <c r="Y626" s="6">
        <v>5</v>
      </c>
    </row>
    <row r="627" spans="1:25">
      <c r="A627" t="s">
        <v>997</v>
      </c>
      <c r="B627" s="2">
        <v>45682</v>
      </c>
      <c r="C627">
        <v>2025</v>
      </c>
      <c r="D627" t="s">
        <v>26</v>
      </c>
      <c r="E627" t="s">
        <v>27</v>
      </c>
      <c r="F627" t="s">
        <v>51</v>
      </c>
      <c r="G627" t="s">
        <v>97</v>
      </c>
      <c r="H627" t="s">
        <v>98</v>
      </c>
      <c r="I627" t="s">
        <v>71</v>
      </c>
      <c r="J627" t="s">
        <v>179</v>
      </c>
      <c r="K627" t="s">
        <v>47</v>
      </c>
      <c r="L627" t="s">
        <v>48</v>
      </c>
      <c r="M627" t="s">
        <v>104</v>
      </c>
      <c r="N627" t="s">
        <v>44</v>
      </c>
      <c r="O627" s="3">
        <v>55.36</v>
      </c>
      <c r="P627">
        <v>3</v>
      </c>
      <c r="Q627" s="4">
        <v>0</v>
      </c>
      <c r="R627" s="3">
        <v>166.07999999999998</v>
      </c>
      <c r="S627" s="3">
        <v>31.16</v>
      </c>
      <c r="T627" s="3">
        <v>93.48</v>
      </c>
      <c r="U627" s="3">
        <v>72.59999999999998</v>
      </c>
      <c r="V627" s="5">
        <v>0.43713872832369932</v>
      </c>
      <c r="W627">
        <v>7</v>
      </c>
      <c r="X627" t="s">
        <v>37</v>
      </c>
      <c r="Y627" s="6">
        <v>4</v>
      </c>
    </row>
    <row r="628" spans="1:25">
      <c r="A628" t="s">
        <v>998</v>
      </c>
      <c r="B628" s="2">
        <v>45682</v>
      </c>
      <c r="C628">
        <v>2025</v>
      </c>
      <c r="D628" t="s">
        <v>26</v>
      </c>
      <c r="E628" t="s">
        <v>27</v>
      </c>
      <c r="F628" t="s">
        <v>39</v>
      </c>
      <c r="G628" t="s">
        <v>40</v>
      </c>
      <c r="H628" t="s">
        <v>41</v>
      </c>
      <c r="I628" t="s">
        <v>78</v>
      </c>
      <c r="J628" t="s">
        <v>999</v>
      </c>
      <c r="K628" t="s">
        <v>61</v>
      </c>
      <c r="L628" t="s">
        <v>80</v>
      </c>
      <c r="M628" t="s">
        <v>81</v>
      </c>
      <c r="N628" t="s">
        <v>36</v>
      </c>
      <c r="O628" s="3">
        <v>964.68</v>
      </c>
      <c r="P628">
        <v>5</v>
      </c>
      <c r="Q628" s="4">
        <v>0</v>
      </c>
      <c r="R628" s="3">
        <v>4823.3999999999996</v>
      </c>
      <c r="S628" s="3">
        <v>645.32000000000005</v>
      </c>
      <c r="T628" s="3">
        <v>3226.6000000000004</v>
      </c>
      <c r="U628" s="3">
        <v>1596.7999999999993</v>
      </c>
      <c r="V628" s="5">
        <v>0.33105278434299446</v>
      </c>
      <c r="W628">
        <v>3</v>
      </c>
      <c r="X628" t="s">
        <v>37</v>
      </c>
      <c r="Y628" s="6">
        <v>5</v>
      </c>
    </row>
    <row r="629" spans="1:25">
      <c r="A629" t="s">
        <v>1000</v>
      </c>
      <c r="B629" s="2">
        <v>45683</v>
      </c>
      <c r="C629">
        <v>2025</v>
      </c>
      <c r="D629" t="s">
        <v>26</v>
      </c>
      <c r="E629" t="s">
        <v>27</v>
      </c>
      <c r="F629" t="s">
        <v>65</v>
      </c>
      <c r="G629" t="s">
        <v>76</v>
      </c>
      <c r="H629" t="s">
        <v>77</v>
      </c>
      <c r="I629" t="s">
        <v>78</v>
      </c>
      <c r="J629" t="s">
        <v>483</v>
      </c>
      <c r="K629" t="s">
        <v>33</v>
      </c>
      <c r="L629" t="s">
        <v>88</v>
      </c>
      <c r="M629" t="s">
        <v>100</v>
      </c>
      <c r="N629" t="s">
        <v>36</v>
      </c>
      <c r="O629" s="3">
        <v>310.45</v>
      </c>
      <c r="P629">
        <v>3</v>
      </c>
      <c r="Q629" s="4">
        <v>0.1</v>
      </c>
      <c r="R629" s="3">
        <v>838.21499999999992</v>
      </c>
      <c r="S629" s="3">
        <v>159.19999999999999</v>
      </c>
      <c r="T629" s="3">
        <v>477.59999999999997</v>
      </c>
      <c r="U629" s="3">
        <v>360.61499999999995</v>
      </c>
      <c r="V629" s="5">
        <v>0.43021778422003898</v>
      </c>
      <c r="W629">
        <v>4</v>
      </c>
      <c r="X629" t="s">
        <v>37</v>
      </c>
      <c r="Y629" s="6">
        <v>5</v>
      </c>
    </row>
    <row r="630" spans="1:25">
      <c r="A630" t="s">
        <v>1001</v>
      </c>
      <c r="B630" s="2">
        <v>45683</v>
      </c>
      <c r="C630">
        <v>2025</v>
      </c>
      <c r="D630" t="s">
        <v>26</v>
      </c>
      <c r="E630" t="s">
        <v>27</v>
      </c>
      <c r="F630" t="s">
        <v>51</v>
      </c>
      <c r="G630" t="s">
        <v>97</v>
      </c>
      <c r="H630" t="s">
        <v>98</v>
      </c>
      <c r="I630" t="s">
        <v>78</v>
      </c>
      <c r="J630" t="s">
        <v>995</v>
      </c>
      <c r="K630" t="s">
        <v>33</v>
      </c>
      <c r="L630" t="s">
        <v>34</v>
      </c>
      <c r="M630" t="s">
        <v>35</v>
      </c>
      <c r="N630" t="s">
        <v>44</v>
      </c>
      <c r="O630" s="3">
        <v>171.38</v>
      </c>
      <c r="P630">
        <v>1</v>
      </c>
      <c r="Q630" s="4">
        <v>0.2</v>
      </c>
      <c r="R630" s="3">
        <v>137.10400000000001</v>
      </c>
      <c r="S630" s="3">
        <v>90.74</v>
      </c>
      <c r="T630" s="3">
        <v>90.74</v>
      </c>
      <c r="U630" s="3">
        <v>46.364000000000019</v>
      </c>
      <c r="V630" s="5">
        <v>0.33816664721671152</v>
      </c>
      <c r="W630">
        <v>5</v>
      </c>
      <c r="X630" t="s">
        <v>37</v>
      </c>
      <c r="Y630" s="6">
        <v>4</v>
      </c>
    </row>
    <row r="631" spans="1:25">
      <c r="A631" t="s">
        <v>1002</v>
      </c>
      <c r="B631" s="2">
        <v>45684</v>
      </c>
      <c r="C631">
        <v>2025</v>
      </c>
      <c r="D631" t="s">
        <v>26</v>
      </c>
      <c r="E631" t="s">
        <v>27</v>
      </c>
      <c r="F631" t="s">
        <v>65</v>
      </c>
      <c r="G631" t="s">
        <v>76</v>
      </c>
      <c r="H631" t="s">
        <v>126</v>
      </c>
      <c r="I631" t="s">
        <v>71</v>
      </c>
      <c r="J631" t="s">
        <v>324</v>
      </c>
      <c r="K631" t="s">
        <v>47</v>
      </c>
      <c r="L631" t="s">
        <v>48</v>
      </c>
      <c r="M631" t="s">
        <v>49</v>
      </c>
      <c r="N631" t="s">
        <v>36</v>
      </c>
      <c r="O631" s="3">
        <v>32.46</v>
      </c>
      <c r="P631">
        <v>9</v>
      </c>
      <c r="Q631" s="4">
        <v>0</v>
      </c>
      <c r="R631" s="3">
        <v>292.14</v>
      </c>
      <c r="S631" s="3">
        <v>13.86</v>
      </c>
      <c r="T631" s="3">
        <v>124.74</v>
      </c>
      <c r="U631" s="3">
        <v>167.39999999999998</v>
      </c>
      <c r="V631" s="5">
        <v>0.57301293900184835</v>
      </c>
      <c r="W631">
        <v>2</v>
      </c>
      <c r="X631" t="s">
        <v>37</v>
      </c>
      <c r="Y631" s="6">
        <v>5</v>
      </c>
    </row>
    <row r="632" spans="1:25">
      <c r="A632" t="s">
        <v>1003</v>
      </c>
      <c r="B632" s="2">
        <v>45685</v>
      </c>
      <c r="C632">
        <v>2025</v>
      </c>
      <c r="D632" t="s">
        <v>26</v>
      </c>
      <c r="E632" t="s">
        <v>27</v>
      </c>
      <c r="F632" t="s">
        <v>65</v>
      </c>
      <c r="G632" t="s">
        <v>76</v>
      </c>
      <c r="H632" t="s">
        <v>77</v>
      </c>
      <c r="I632" t="s">
        <v>78</v>
      </c>
      <c r="J632" t="s">
        <v>820</v>
      </c>
      <c r="K632" t="s">
        <v>33</v>
      </c>
      <c r="L632" t="s">
        <v>88</v>
      </c>
      <c r="M632" t="s">
        <v>100</v>
      </c>
      <c r="N632" t="s">
        <v>57</v>
      </c>
      <c r="O632" s="3">
        <v>308.23</v>
      </c>
      <c r="P632">
        <v>1</v>
      </c>
      <c r="Q632" s="4">
        <v>0.05</v>
      </c>
      <c r="R632" s="3">
        <v>292.81850000000003</v>
      </c>
      <c r="S632" s="3">
        <v>158.44999999999999</v>
      </c>
      <c r="T632" s="3">
        <v>158.44999999999999</v>
      </c>
      <c r="U632" s="3">
        <v>134.36850000000004</v>
      </c>
      <c r="V632" s="5">
        <v>0.45887981804428352</v>
      </c>
      <c r="W632">
        <v>3</v>
      </c>
      <c r="X632" t="s">
        <v>58</v>
      </c>
      <c r="Y632" s="6">
        <v>3</v>
      </c>
    </row>
    <row r="633" spans="1:25">
      <c r="A633" t="s">
        <v>1004</v>
      </c>
      <c r="B633" s="2">
        <v>45688</v>
      </c>
      <c r="C633">
        <v>2025</v>
      </c>
      <c r="D633" t="s">
        <v>26</v>
      </c>
      <c r="E633" t="s">
        <v>27</v>
      </c>
      <c r="F633" t="s">
        <v>39</v>
      </c>
      <c r="G633" t="s">
        <v>40</v>
      </c>
      <c r="H633" t="s">
        <v>41</v>
      </c>
      <c r="I633" t="s">
        <v>71</v>
      </c>
      <c r="J633" t="s">
        <v>1005</v>
      </c>
      <c r="K633" t="s">
        <v>61</v>
      </c>
      <c r="L633" t="s">
        <v>62</v>
      </c>
      <c r="M633" t="s">
        <v>63</v>
      </c>
      <c r="N633" t="s">
        <v>57</v>
      </c>
      <c r="O633" s="3">
        <v>89.44</v>
      </c>
      <c r="P633">
        <v>4</v>
      </c>
      <c r="Q633" s="4">
        <v>0</v>
      </c>
      <c r="R633" s="3">
        <v>357.76</v>
      </c>
      <c r="S633" s="3">
        <v>45.05</v>
      </c>
      <c r="T633" s="3">
        <v>180.2</v>
      </c>
      <c r="U633" s="3">
        <v>177.56</v>
      </c>
      <c r="V633" s="5">
        <v>0.4963103756708408</v>
      </c>
      <c r="W633">
        <v>2</v>
      </c>
      <c r="X633" t="s">
        <v>37</v>
      </c>
      <c r="Y633" s="6">
        <v>5</v>
      </c>
    </row>
    <row r="634" spans="1:25">
      <c r="A634" t="s">
        <v>1006</v>
      </c>
      <c r="B634" s="2">
        <v>45690</v>
      </c>
      <c r="C634">
        <v>2025</v>
      </c>
      <c r="D634" t="s">
        <v>26</v>
      </c>
      <c r="E634" t="s">
        <v>131</v>
      </c>
      <c r="F634" t="s">
        <v>39</v>
      </c>
      <c r="G634" t="s">
        <v>111</v>
      </c>
      <c r="H634" t="s">
        <v>112</v>
      </c>
      <c r="I634" t="s">
        <v>71</v>
      </c>
      <c r="J634" t="s">
        <v>225</v>
      </c>
      <c r="K634" t="s">
        <v>47</v>
      </c>
      <c r="L634" t="s">
        <v>48</v>
      </c>
      <c r="M634" t="s">
        <v>49</v>
      </c>
      <c r="N634" t="s">
        <v>44</v>
      </c>
      <c r="O634" s="3">
        <v>31.77</v>
      </c>
      <c r="P634">
        <v>9</v>
      </c>
      <c r="Q634" s="4">
        <v>0</v>
      </c>
      <c r="R634" s="3">
        <v>285.93</v>
      </c>
      <c r="S634" s="3">
        <v>13.86</v>
      </c>
      <c r="T634" s="3">
        <v>124.74</v>
      </c>
      <c r="U634" s="3">
        <v>161.19</v>
      </c>
      <c r="V634" s="5">
        <v>0.5637393767705382</v>
      </c>
      <c r="W634">
        <v>4</v>
      </c>
      <c r="X634" t="s">
        <v>37</v>
      </c>
      <c r="Y634" s="6">
        <v>5</v>
      </c>
    </row>
    <row r="635" spans="1:25">
      <c r="A635" t="s">
        <v>1007</v>
      </c>
      <c r="B635" s="2">
        <v>45692</v>
      </c>
      <c r="C635">
        <v>2025</v>
      </c>
      <c r="D635" t="s">
        <v>26</v>
      </c>
      <c r="E635" t="s">
        <v>131</v>
      </c>
      <c r="F635" t="s">
        <v>28</v>
      </c>
      <c r="G635" t="s">
        <v>29</v>
      </c>
      <c r="H635" t="s">
        <v>106</v>
      </c>
      <c r="I635" t="s">
        <v>31</v>
      </c>
      <c r="J635" t="s">
        <v>554</v>
      </c>
      <c r="K635" t="s">
        <v>61</v>
      </c>
      <c r="L635" t="s">
        <v>62</v>
      </c>
      <c r="M635" t="s">
        <v>195</v>
      </c>
      <c r="N635" t="s">
        <v>44</v>
      </c>
      <c r="O635" s="3">
        <v>76.05</v>
      </c>
      <c r="P635">
        <v>4</v>
      </c>
      <c r="Q635" s="4">
        <v>0</v>
      </c>
      <c r="R635" s="3">
        <v>304.2</v>
      </c>
      <c r="S635" s="3">
        <v>32.130000000000003</v>
      </c>
      <c r="T635" s="3">
        <v>128.52000000000001</v>
      </c>
      <c r="U635" s="3">
        <v>175.67999999999998</v>
      </c>
      <c r="V635" s="5">
        <v>0.57751479289940821</v>
      </c>
      <c r="W635">
        <v>2</v>
      </c>
      <c r="X635" t="s">
        <v>58</v>
      </c>
      <c r="Y635" s="6">
        <v>3</v>
      </c>
    </row>
    <row r="636" spans="1:25">
      <c r="A636" t="s">
        <v>1008</v>
      </c>
      <c r="B636" s="2">
        <v>45692</v>
      </c>
      <c r="C636">
        <v>2025</v>
      </c>
      <c r="D636" t="s">
        <v>26</v>
      </c>
      <c r="E636" t="s">
        <v>131</v>
      </c>
      <c r="F636" t="s">
        <v>39</v>
      </c>
      <c r="G636" t="s">
        <v>91</v>
      </c>
      <c r="H636" t="s">
        <v>92</v>
      </c>
      <c r="I636" t="s">
        <v>31</v>
      </c>
      <c r="J636" t="s">
        <v>146</v>
      </c>
      <c r="K636" t="s">
        <v>47</v>
      </c>
      <c r="L636" t="s">
        <v>55</v>
      </c>
      <c r="M636" t="s">
        <v>56</v>
      </c>
      <c r="N636" t="s">
        <v>57</v>
      </c>
      <c r="O636" s="3">
        <v>39.479999999999997</v>
      </c>
      <c r="P636">
        <v>6</v>
      </c>
      <c r="Q636" s="4">
        <v>0</v>
      </c>
      <c r="R636" s="3">
        <v>236.88</v>
      </c>
      <c r="S636" s="3">
        <v>16.88</v>
      </c>
      <c r="T636" s="3">
        <v>101.28</v>
      </c>
      <c r="U636" s="3">
        <v>135.6</v>
      </c>
      <c r="V636" s="5">
        <v>0.57244174265450865</v>
      </c>
      <c r="W636">
        <v>3</v>
      </c>
      <c r="X636" t="s">
        <v>37</v>
      </c>
      <c r="Y636" s="6">
        <v>5</v>
      </c>
    </row>
    <row r="637" spans="1:25">
      <c r="A637" t="s">
        <v>1009</v>
      </c>
      <c r="B637" s="2">
        <v>45692</v>
      </c>
      <c r="C637">
        <v>2025</v>
      </c>
      <c r="D637" t="s">
        <v>26</v>
      </c>
      <c r="E637" t="s">
        <v>131</v>
      </c>
      <c r="F637" t="s">
        <v>65</v>
      </c>
      <c r="G637" t="s">
        <v>66</v>
      </c>
      <c r="H637" t="s">
        <v>67</v>
      </c>
      <c r="I637" t="s">
        <v>31</v>
      </c>
      <c r="J637" t="s">
        <v>999</v>
      </c>
      <c r="K637" t="s">
        <v>33</v>
      </c>
      <c r="L637" t="s">
        <v>88</v>
      </c>
      <c r="M637" t="s">
        <v>100</v>
      </c>
      <c r="N637" t="s">
        <v>57</v>
      </c>
      <c r="O637" s="3">
        <v>308.81</v>
      </c>
      <c r="P637">
        <v>4</v>
      </c>
      <c r="Q637" s="4">
        <v>0.1</v>
      </c>
      <c r="R637" s="3">
        <v>1111.7160000000001</v>
      </c>
      <c r="S637" s="3">
        <v>158.74</v>
      </c>
      <c r="T637" s="3">
        <v>634.96</v>
      </c>
      <c r="U637" s="3">
        <v>476.75600000000009</v>
      </c>
      <c r="V637" s="5">
        <v>0.4288469357281896</v>
      </c>
      <c r="W637">
        <v>6</v>
      </c>
      <c r="X637" t="s">
        <v>37</v>
      </c>
      <c r="Y637" s="6">
        <v>4</v>
      </c>
    </row>
    <row r="638" spans="1:25">
      <c r="A638" t="s">
        <v>1010</v>
      </c>
      <c r="B638" s="2">
        <v>45696</v>
      </c>
      <c r="C638">
        <v>2025</v>
      </c>
      <c r="D638" t="s">
        <v>26</v>
      </c>
      <c r="E638" t="s">
        <v>131</v>
      </c>
      <c r="F638" t="s">
        <v>28</v>
      </c>
      <c r="G638" t="s">
        <v>29</v>
      </c>
      <c r="H638" t="s">
        <v>30</v>
      </c>
      <c r="I638" t="s">
        <v>42</v>
      </c>
      <c r="J638" t="s">
        <v>1011</v>
      </c>
      <c r="K638" t="s">
        <v>61</v>
      </c>
      <c r="L638" t="s">
        <v>80</v>
      </c>
      <c r="M638" t="s">
        <v>81</v>
      </c>
      <c r="N638" t="s">
        <v>36</v>
      </c>
      <c r="O638" s="3">
        <v>1007.81</v>
      </c>
      <c r="P638">
        <v>1</v>
      </c>
      <c r="Q638" s="4">
        <v>0.2</v>
      </c>
      <c r="R638" s="3">
        <v>806.24800000000005</v>
      </c>
      <c r="S638" s="3">
        <v>664.61</v>
      </c>
      <c r="T638" s="3">
        <v>664.61</v>
      </c>
      <c r="U638" s="3">
        <v>141.63800000000003</v>
      </c>
      <c r="V638" s="5">
        <v>0.17567547454381285</v>
      </c>
      <c r="W638">
        <v>2</v>
      </c>
      <c r="X638" t="s">
        <v>37</v>
      </c>
      <c r="Y638" s="6">
        <v>5</v>
      </c>
    </row>
    <row r="639" spans="1:25">
      <c r="A639" t="s">
        <v>1012</v>
      </c>
      <c r="B639" s="2">
        <v>45697</v>
      </c>
      <c r="C639">
        <v>2025</v>
      </c>
      <c r="D639" t="s">
        <v>26</v>
      </c>
      <c r="E639" t="s">
        <v>131</v>
      </c>
      <c r="F639" t="s">
        <v>28</v>
      </c>
      <c r="G639" t="s">
        <v>29</v>
      </c>
      <c r="H639" t="s">
        <v>30</v>
      </c>
      <c r="I639" t="s">
        <v>71</v>
      </c>
      <c r="J639" t="s">
        <v>164</v>
      </c>
      <c r="K639" t="s">
        <v>47</v>
      </c>
      <c r="L639" t="s">
        <v>114</v>
      </c>
      <c r="M639" t="s">
        <v>120</v>
      </c>
      <c r="N639" t="s">
        <v>36</v>
      </c>
      <c r="O639" s="3">
        <v>25.2</v>
      </c>
      <c r="P639">
        <v>12</v>
      </c>
      <c r="Q639" s="4">
        <v>0</v>
      </c>
      <c r="R639" s="3">
        <v>302.39999999999998</v>
      </c>
      <c r="S639" s="3">
        <v>11.18</v>
      </c>
      <c r="T639" s="3">
        <v>134.16</v>
      </c>
      <c r="U639" s="3">
        <v>168.23999999999998</v>
      </c>
      <c r="V639" s="5">
        <v>0.55634920634920637</v>
      </c>
      <c r="W639">
        <v>4</v>
      </c>
      <c r="X639" t="s">
        <v>37</v>
      </c>
      <c r="Y639" s="6">
        <v>5</v>
      </c>
    </row>
    <row r="640" spans="1:25">
      <c r="A640" t="s">
        <v>1013</v>
      </c>
      <c r="B640" s="2">
        <v>45698</v>
      </c>
      <c r="C640">
        <v>2025</v>
      </c>
      <c r="D640" t="s">
        <v>26</v>
      </c>
      <c r="E640" t="s">
        <v>131</v>
      </c>
      <c r="F640" t="s">
        <v>65</v>
      </c>
      <c r="G640" t="s">
        <v>76</v>
      </c>
      <c r="H640" t="s">
        <v>126</v>
      </c>
      <c r="I640" t="s">
        <v>31</v>
      </c>
      <c r="J640" t="s">
        <v>592</v>
      </c>
      <c r="K640" t="s">
        <v>61</v>
      </c>
      <c r="L640" t="s">
        <v>80</v>
      </c>
      <c r="M640" t="s">
        <v>187</v>
      </c>
      <c r="N640" t="s">
        <v>36</v>
      </c>
      <c r="O640" s="3">
        <v>1333.35</v>
      </c>
      <c r="P640">
        <v>4</v>
      </c>
      <c r="Q640" s="4">
        <v>0</v>
      </c>
      <c r="R640" s="3">
        <v>5333.4</v>
      </c>
      <c r="S640" s="3">
        <v>865.21</v>
      </c>
      <c r="T640" s="3">
        <v>3460.84</v>
      </c>
      <c r="U640" s="3">
        <v>1872.5599999999995</v>
      </c>
      <c r="V640" s="5">
        <v>0.35110061124235942</v>
      </c>
      <c r="W640">
        <v>4</v>
      </c>
      <c r="X640" t="s">
        <v>37</v>
      </c>
      <c r="Y640" s="6">
        <v>5</v>
      </c>
    </row>
    <row r="641" spans="1:25">
      <c r="A641" t="s">
        <v>1014</v>
      </c>
      <c r="B641" s="2">
        <v>45698</v>
      </c>
      <c r="C641">
        <v>2025</v>
      </c>
      <c r="D641" t="s">
        <v>26</v>
      </c>
      <c r="E641" t="s">
        <v>131</v>
      </c>
      <c r="F641" t="s">
        <v>51</v>
      </c>
      <c r="G641" t="s">
        <v>52</v>
      </c>
      <c r="H641" t="s">
        <v>102</v>
      </c>
      <c r="I641" t="s">
        <v>71</v>
      </c>
      <c r="J641" t="s">
        <v>604</v>
      </c>
      <c r="K641" t="s">
        <v>47</v>
      </c>
      <c r="L641" t="s">
        <v>114</v>
      </c>
      <c r="M641" t="s">
        <v>120</v>
      </c>
      <c r="N641" t="s">
        <v>44</v>
      </c>
      <c r="O641" s="3">
        <v>26.78</v>
      </c>
      <c r="P641">
        <v>8</v>
      </c>
      <c r="Q641" s="4">
        <v>0</v>
      </c>
      <c r="R641" s="3">
        <v>214.24</v>
      </c>
      <c r="S641" s="3">
        <v>11</v>
      </c>
      <c r="T641" s="3">
        <v>88</v>
      </c>
      <c r="U641" s="3">
        <v>126.24000000000001</v>
      </c>
      <c r="V641" s="5">
        <v>0.58924570575056012</v>
      </c>
      <c r="W641">
        <v>2</v>
      </c>
      <c r="X641" t="s">
        <v>37</v>
      </c>
      <c r="Y641" s="6">
        <v>5</v>
      </c>
    </row>
    <row r="642" spans="1:25">
      <c r="A642" t="s">
        <v>1015</v>
      </c>
      <c r="B642" s="2">
        <v>45700</v>
      </c>
      <c r="C642">
        <v>2025</v>
      </c>
      <c r="D642" t="s">
        <v>26</v>
      </c>
      <c r="E642" t="s">
        <v>131</v>
      </c>
      <c r="F642" t="s">
        <v>51</v>
      </c>
      <c r="G642" t="s">
        <v>52</v>
      </c>
      <c r="H642" t="s">
        <v>102</v>
      </c>
      <c r="I642" t="s">
        <v>42</v>
      </c>
      <c r="J642" t="s">
        <v>317</v>
      </c>
      <c r="K642" t="s">
        <v>47</v>
      </c>
      <c r="L642" t="s">
        <v>48</v>
      </c>
      <c r="M642" t="s">
        <v>49</v>
      </c>
      <c r="N642" t="s">
        <v>57</v>
      </c>
      <c r="O642" s="3">
        <v>31.9</v>
      </c>
      <c r="P642">
        <v>11</v>
      </c>
      <c r="Q642" s="4">
        <v>0.1</v>
      </c>
      <c r="R642" s="3">
        <v>315.81</v>
      </c>
      <c r="S642" s="3">
        <v>14.19</v>
      </c>
      <c r="T642" s="3">
        <v>156.09</v>
      </c>
      <c r="U642" s="3">
        <v>159.72</v>
      </c>
      <c r="V642" s="5">
        <v>0.50574712643678155</v>
      </c>
      <c r="W642">
        <v>8</v>
      </c>
      <c r="X642" t="s">
        <v>37</v>
      </c>
      <c r="Y642" s="6">
        <v>4</v>
      </c>
    </row>
    <row r="643" spans="1:25">
      <c r="A643" t="s">
        <v>1016</v>
      </c>
      <c r="B643" s="2">
        <v>45701</v>
      </c>
      <c r="C643">
        <v>2025</v>
      </c>
      <c r="D643" t="s">
        <v>26</v>
      </c>
      <c r="E643" t="s">
        <v>131</v>
      </c>
      <c r="F643" t="s">
        <v>39</v>
      </c>
      <c r="G643" t="s">
        <v>111</v>
      </c>
      <c r="H643" t="s">
        <v>112</v>
      </c>
      <c r="I643" t="s">
        <v>78</v>
      </c>
      <c r="J643" t="s">
        <v>273</v>
      </c>
      <c r="K643" t="s">
        <v>61</v>
      </c>
      <c r="L643" t="s">
        <v>84</v>
      </c>
      <c r="M643" t="s">
        <v>135</v>
      </c>
      <c r="N643" t="s">
        <v>36</v>
      </c>
      <c r="O643" s="3">
        <v>896.78</v>
      </c>
      <c r="P643">
        <v>5</v>
      </c>
      <c r="Q643" s="4">
        <v>0</v>
      </c>
      <c r="R643" s="3">
        <v>4483.8999999999996</v>
      </c>
      <c r="S643" s="3">
        <v>557.85</v>
      </c>
      <c r="T643" s="3">
        <v>2789.25</v>
      </c>
      <c r="U643" s="3">
        <v>1694.6499999999996</v>
      </c>
      <c r="V643" s="5">
        <v>0.37794107807935051</v>
      </c>
      <c r="W643">
        <v>1</v>
      </c>
      <c r="X643" t="s">
        <v>37</v>
      </c>
      <c r="Y643" s="6">
        <v>5</v>
      </c>
    </row>
    <row r="644" spans="1:25">
      <c r="A644" t="s">
        <v>1017</v>
      </c>
      <c r="B644" s="2">
        <v>45704</v>
      </c>
      <c r="C644">
        <v>2025</v>
      </c>
      <c r="D644" t="s">
        <v>26</v>
      </c>
      <c r="E644" t="s">
        <v>131</v>
      </c>
      <c r="F644" t="s">
        <v>51</v>
      </c>
      <c r="G644" t="s">
        <v>52</v>
      </c>
      <c r="H644" t="s">
        <v>102</v>
      </c>
      <c r="I644" t="s">
        <v>71</v>
      </c>
      <c r="J644" t="s">
        <v>543</v>
      </c>
      <c r="K644" t="s">
        <v>33</v>
      </c>
      <c r="L644" t="s">
        <v>34</v>
      </c>
      <c r="M644" t="s">
        <v>150</v>
      </c>
      <c r="N644" t="s">
        <v>36</v>
      </c>
      <c r="O644" s="3">
        <v>437.5</v>
      </c>
      <c r="P644">
        <v>3</v>
      </c>
      <c r="Q644" s="4">
        <v>0</v>
      </c>
      <c r="R644" s="3">
        <v>1312.5</v>
      </c>
      <c r="S644" s="3">
        <v>251.79</v>
      </c>
      <c r="T644" s="3">
        <v>755.37</v>
      </c>
      <c r="U644" s="3">
        <v>557.13</v>
      </c>
      <c r="V644" s="5">
        <v>0.42448000000000002</v>
      </c>
      <c r="W644">
        <v>6</v>
      </c>
      <c r="X644" t="s">
        <v>58</v>
      </c>
      <c r="Y644" s="6">
        <v>3</v>
      </c>
    </row>
    <row r="645" spans="1:25">
      <c r="A645" t="s">
        <v>1018</v>
      </c>
      <c r="B645" s="2">
        <v>45705</v>
      </c>
      <c r="C645">
        <v>2025</v>
      </c>
      <c r="D645" t="s">
        <v>26</v>
      </c>
      <c r="E645" t="s">
        <v>131</v>
      </c>
      <c r="F645" t="s">
        <v>65</v>
      </c>
      <c r="G645" t="s">
        <v>66</v>
      </c>
      <c r="H645" t="s">
        <v>67</v>
      </c>
      <c r="I645" t="s">
        <v>31</v>
      </c>
      <c r="J645" t="s">
        <v>439</v>
      </c>
      <c r="K645" t="s">
        <v>33</v>
      </c>
      <c r="L645" t="s">
        <v>88</v>
      </c>
      <c r="M645" t="s">
        <v>89</v>
      </c>
      <c r="N645" t="s">
        <v>44</v>
      </c>
      <c r="O645" s="3">
        <v>236.81</v>
      </c>
      <c r="P645">
        <v>1</v>
      </c>
      <c r="Q645" s="4">
        <v>0.2</v>
      </c>
      <c r="R645" s="3">
        <v>189.44800000000001</v>
      </c>
      <c r="S645" s="3">
        <v>129.72</v>
      </c>
      <c r="T645" s="3">
        <v>129.72</v>
      </c>
      <c r="U645" s="3">
        <v>59.728000000000009</v>
      </c>
      <c r="V645" s="5">
        <v>0.3152738482327605</v>
      </c>
      <c r="W645">
        <v>1</v>
      </c>
      <c r="X645" t="s">
        <v>37</v>
      </c>
      <c r="Y645" s="6">
        <v>5</v>
      </c>
    </row>
    <row r="646" spans="1:25">
      <c r="A646" t="s">
        <v>1019</v>
      </c>
      <c r="B646" s="2">
        <v>45707</v>
      </c>
      <c r="C646">
        <v>2025</v>
      </c>
      <c r="D646" t="s">
        <v>26</v>
      </c>
      <c r="E646" t="s">
        <v>131</v>
      </c>
      <c r="F646" t="s">
        <v>51</v>
      </c>
      <c r="G646" t="s">
        <v>52</v>
      </c>
      <c r="H646" t="s">
        <v>53</v>
      </c>
      <c r="I646" t="s">
        <v>78</v>
      </c>
      <c r="J646" t="s">
        <v>173</v>
      </c>
      <c r="K646" t="s">
        <v>61</v>
      </c>
      <c r="L646" t="s">
        <v>80</v>
      </c>
      <c r="M646" t="s">
        <v>81</v>
      </c>
      <c r="N646" t="s">
        <v>44</v>
      </c>
      <c r="O646" s="3">
        <v>999.23</v>
      </c>
      <c r="P646">
        <v>5</v>
      </c>
      <c r="Q646" s="4">
        <v>0</v>
      </c>
      <c r="R646" s="3">
        <v>4996.1499999999996</v>
      </c>
      <c r="S646" s="3">
        <v>665.45</v>
      </c>
      <c r="T646" s="3">
        <v>3327.25</v>
      </c>
      <c r="U646" s="3">
        <v>1668.8999999999996</v>
      </c>
      <c r="V646" s="5">
        <v>0.33403720865066094</v>
      </c>
      <c r="W646">
        <v>9</v>
      </c>
      <c r="X646" t="s">
        <v>37</v>
      </c>
      <c r="Y646" s="6">
        <v>4</v>
      </c>
    </row>
    <row r="647" spans="1:25">
      <c r="A647" t="s">
        <v>1020</v>
      </c>
      <c r="B647" s="2">
        <v>45707</v>
      </c>
      <c r="C647">
        <v>2025</v>
      </c>
      <c r="D647" t="s">
        <v>26</v>
      </c>
      <c r="E647" t="s">
        <v>131</v>
      </c>
      <c r="F647" t="s">
        <v>39</v>
      </c>
      <c r="G647" t="s">
        <v>40</v>
      </c>
      <c r="H647" t="s">
        <v>41</v>
      </c>
      <c r="I647" t="s">
        <v>42</v>
      </c>
      <c r="J647" t="s">
        <v>1021</v>
      </c>
      <c r="K647" t="s">
        <v>47</v>
      </c>
      <c r="L647" t="s">
        <v>55</v>
      </c>
      <c r="M647" t="s">
        <v>69</v>
      </c>
      <c r="N647" t="s">
        <v>57</v>
      </c>
      <c r="O647" s="3">
        <v>45.29</v>
      </c>
      <c r="P647">
        <v>2</v>
      </c>
      <c r="Q647" s="4">
        <v>0.2</v>
      </c>
      <c r="R647" s="3">
        <v>72.463999999999999</v>
      </c>
      <c r="S647" s="3">
        <v>21.51</v>
      </c>
      <c r="T647" s="3">
        <v>43.02</v>
      </c>
      <c r="U647" s="3">
        <v>29.443999999999996</v>
      </c>
      <c r="V647" s="5">
        <v>0.40632589975712075</v>
      </c>
      <c r="W647">
        <v>1</v>
      </c>
      <c r="X647" t="s">
        <v>37</v>
      </c>
      <c r="Y647" s="6">
        <v>5</v>
      </c>
    </row>
    <row r="648" spans="1:25">
      <c r="A648" t="s">
        <v>1022</v>
      </c>
      <c r="B648" s="2">
        <v>45708</v>
      </c>
      <c r="C648">
        <v>2025</v>
      </c>
      <c r="D648" t="s">
        <v>26</v>
      </c>
      <c r="E648" t="s">
        <v>131</v>
      </c>
      <c r="F648" t="s">
        <v>28</v>
      </c>
      <c r="G648" t="s">
        <v>29</v>
      </c>
      <c r="H648" t="s">
        <v>106</v>
      </c>
      <c r="I648" t="s">
        <v>31</v>
      </c>
      <c r="J648" t="s">
        <v>1023</v>
      </c>
      <c r="K648" t="s">
        <v>33</v>
      </c>
      <c r="L648" t="s">
        <v>73</v>
      </c>
      <c r="M648" t="s">
        <v>74</v>
      </c>
      <c r="N648" t="s">
        <v>44</v>
      </c>
      <c r="O648" s="3">
        <v>719.75</v>
      </c>
      <c r="P648">
        <v>3</v>
      </c>
      <c r="Q648" s="4">
        <v>0</v>
      </c>
      <c r="R648" s="3">
        <v>2159.25</v>
      </c>
      <c r="S648" s="3">
        <v>429.65</v>
      </c>
      <c r="T648" s="3">
        <v>1288.9499999999998</v>
      </c>
      <c r="U648" s="3">
        <v>870.30000000000018</v>
      </c>
      <c r="V648" s="5">
        <v>0.40305661688086147</v>
      </c>
      <c r="W648">
        <v>2</v>
      </c>
      <c r="X648" t="s">
        <v>37</v>
      </c>
      <c r="Y648" s="6">
        <v>5</v>
      </c>
    </row>
    <row r="649" spans="1:25">
      <c r="A649" t="s">
        <v>1024</v>
      </c>
      <c r="B649" s="2">
        <v>45709</v>
      </c>
      <c r="C649">
        <v>2025</v>
      </c>
      <c r="D649" t="s">
        <v>26</v>
      </c>
      <c r="E649" t="s">
        <v>131</v>
      </c>
      <c r="F649" t="s">
        <v>28</v>
      </c>
      <c r="G649" t="s">
        <v>29</v>
      </c>
      <c r="H649" t="s">
        <v>60</v>
      </c>
      <c r="I649" t="s">
        <v>78</v>
      </c>
      <c r="J649" t="s">
        <v>1025</v>
      </c>
      <c r="K649" t="s">
        <v>47</v>
      </c>
      <c r="L649" t="s">
        <v>55</v>
      </c>
      <c r="M649" t="s">
        <v>69</v>
      </c>
      <c r="N649" t="s">
        <v>44</v>
      </c>
      <c r="O649" s="3">
        <v>42.84</v>
      </c>
      <c r="P649">
        <v>5</v>
      </c>
      <c r="Q649" s="4">
        <v>0.1</v>
      </c>
      <c r="R649" s="3">
        <v>192.78000000000003</v>
      </c>
      <c r="S649" s="3">
        <v>22.55</v>
      </c>
      <c r="T649" s="3">
        <v>112.75</v>
      </c>
      <c r="U649" s="3">
        <v>80.03000000000003</v>
      </c>
      <c r="V649" s="5">
        <v>0.41513642494034658</v>
      </c>
      <c r="W649">
        <v>6</v>
      </c>
      <c r="X649" t="s">
        <v>58</v>
      </c>
      <c r="Y649" s="6">
        <v>3</v>
      </c>
    </row>
    <row r="650" spans="1:25">
      <c r="A650" t="s">
        <v>1026</v>
      </c>
      <c r="B650" s="2">
        <v>45710</v>
      </c>
      <c r="C650">
        <v>2025</v>
      </c>
      <c r="D650" t="s">
        <v>26</v>
      </c>
      <c r="E650" t="s">
        <v>131</v>
      </c>
      <c r="F650" t="s">
        <v>28</v>
      </c>
      <c r="G650" t="s">
        <v>29</v>
      </c>
      <c r="H650" t="s">
        <v>30</v>
      </c>
      <c r="I650" t="s">
        <v>71</v>
      </c>
      <c r="J650" t="s">
        <v>613</v>
      </c>
      <c r="K650" t="s">
        <v>61</v>
      </c>
      <c r="L650" t="s">
        <v>84</v>
      </c>
      <c r="M650" t="s">
        <v>135</v>
      </c>
      <c r="N650" t="s">
        <v>44</v>
      </c>
      <c r="O650" s="3">
        <v>863.05</v>
      </c>
      <c r="P650">
        <v>5</v>
      </c>
      <c r="Q650" s="4">
        <v>0</v>
      </c>
      <c r="R650" s="3">
        <v>4315.25</v>
      </c>
      <c r="S650" s="3">
        <v>553.11</v>
      </c>
      <c r="T650" s="3">
        <v>2765.55</v>
      </c>
      <c r="U650" s="3">
        <v>1549.6999999999998</v>
      </c>
      <c r="V650" s="5">
        <v>0.35912171948322802</v>
      </c>
      <c r="W650">
        <v>5</v>
      </c>
      <c r="X650" t="s">
        <v>37</v>
      </c>
      <c r="Y650" s="6">
        <v>5</v>
      </c>
    </row>
    <row r="651" spans="1:25">
      <c r="A651" t="s">
        <v>1027</v>
      </c>
      <c r="B651" s="2">
        <v>45712</v>
      </c>
      <c r="C651">
        <v>2025</v>
      </c>
      <c r="D651" t="s">
        <v>26</v>
      </c>
      <c r="E651" t="s">
        <v>131</v>
      </c>
      <c r="F651" t="s">
        <v>65</v>
      </c>
      <c r="G651" t="s">
        <v>66</v>
      </c>
      <c r="H651" t="s">
        <v>67</v>
      </c>
      <c r="I651" t="s">
        <v>71</v>
      </c>
      <c r="J651" t="s">
        <v>407</v>
      </c>
      <c r="K651" t="s">
        <v>33</v>
      </c>
      <c r="L651" t="s">
        <v>73</v>
      </c>
      <c r="M651" t="s">
        <v>138</v>
      </c>
      <c r="N651" t="s">
        <v>36</v>
      </c>
      <c r="O651" s="3">
        <v>312.83</v>
      </c>
      <c r="P651">
        <v>1</v>
      </c>
      <c r="Q651" s="4">
        <v>0.05</v>
      </c>
      <c r="R651" s="3">
        <v>297.18849999999998</v>
      </c>
      <c r="S651" s="3">
        <v>180.92</v>
      </c>
      <c r="T651" s="3">
        <v>180.92</v>
      </c>
      <c r="U651" s="3">
        <v>116.26849999999999</v>
      </c>
      <c r="V651" s="5">
        <v>0.39122812625656778</v>
      </c>
      <c r="W651">
        <v>5</v>
      </c>
      <c r="X651" t="s">
        <v>37</v>
      </c>
      <c r="Y651" s="6">
        <v>4</v>
      </c>
    </row>
    <row r="652" spans="1:25">
      <c r="A652" t="s">
        <v>1028</v>
      </c>
      <c r="B652" s="2">
        <v>45714</v>
      </c>
      <c r="C652">
        <v>2025</v>
      </c>
      <c r="D652" t="s">
        <v>26</v>
      </c>
      <c r="E652" t="s">
        <v>131</v>
      </c>
      <c r="F652" t="s">
        <v>65</v>
      </c>
      <c r="G652" t="s">
        <v>66</v>
      </c>
      <c r="H652" t="s">
        <v>67</v>
      </c>
      <c r="I652" t="s">
        <v>71</v>
      </c>
      <c r="J652" t="s">
        <v>594</v>
      </c>
      <c r="K652" t="s">
        <v>33</v>
      </c>
      <c r="L652" t="s">
        <v>73</v>
      </c>
      <c r="M652" t="s">
        <v>74</v>
      </c>
      <c r="N652" t="s">
        <v>44</v>
      </c>
      <c r="O652" s="3">
        <v>707.73</v>
      </c>
      <c r="P652">
        <v>2</v>
      </c>
      <c r="Q652" s="4">
        <v>0.05</v>
      </c>
      <c r="R652" s="3">
        <v>1344.6869999999999</v>
      </c>
      <c r="S652" s="3">
        <v>430.22</v>
      </c>
      <c r="T652" s="3">
        <v>860.44</v>
      </c>
      <c r="U652" s="3">
        <v>484.24699999999984</v>
      </c>
      <c r="V652" s="5">
        <v>0.36011874882407569</v>
      </c>
      <c r="W652">
        <v>6</v>
      </c>
      <c r="X652" t="s">
        <v>37</v>
      </c>
      <c r="Y652" s="6">
        <v>4</v>
      </c>
    </row>
    <row r="653" spans="1:25">
      <c r="A653" t="s">
        <v>1029</v>
      </c>
      <c r="B653" s="2">
        <v>45714</v>
      </c>
      <c r="C653">
        <v>2025</v>
      </c>
      <c r="D653" t="s">
        <v>26</v>
      </c>
      <c r="E653" t="s">
        <v>131</v>
      </c>
      <c r="F653" t="s">
        <v>65</v>
      </c>
      <c r="G653" t="s">
        <v>76</v>
      </c>
      <c r="H653" t="s">
        <v>126</v>
      </c>
      <c r="I653" t="s">
        <v>42</v>
      </c>
      <c r="J653" t="s">
        <v>621</v>
      </c>
      <c r="K653" t="s">
        <v>33</v>
      </c>
      <c r="L653" t="s">
        <v>88</v>
      </c>
      <c r="M653" t="s">
        <v>100</v>
      </c>
      <c r="N653" t="s">
        <v>36</v>
      </c>
      <c r="O653" s="3">
        <v>291.81</v>
      </c>
      <c r="P653">
        <v>3</v>
      </c>
      <c r="Q653" s="4">
        <v>0</v>
      </c>
      <c r="R653" s="3">
        <v>875.43000000000006</v>
      </c>
      <c r="S653" s="3">
        <v>151.51</v>
      </c>
      <c r="T653" s="3">
        <v>454.53</v>
      </c>
      <c r="U653" s="3">
        <v>420.90000000000009</v>
      </c>
      <c r="V653" s="5">
        <v>0.48079229635721882</v>
      </c>
      <c r="W653">
        <v>7</v>
      </c>
      <c r="X653" t="s">
        <v>37</v>
      </c>
      <c r="Y653" s="6">
        <v>4</v>
      </c>
    </row>
    <row r="654" spans="1:25">
      <c r="A654" t="s">
        <v>1030</v>
      </c>
      <c r="B654" s="2">
        <v>45716</v>
      </c>
      <c r="C654">
        <v>2025</v>
      </c>
      <c r="D654" t="s">
        <v>26</v>
      </c>
      <c r="E654" t="s">
        <v>131</v>
      </c>
      <c r="F654" t="s">
        <v>51</v>
      </c>
      <c r="G654" t="s">
        <v>52</v>
      </c>
      <c r="H654" t="s">
        <v>53</v>
      </c>
      <c r="I654" t="s">
        <v>42</v>
      </c>
      <c r="J654" t="s">
        <v>588</v>
      </c>
      <c r="K654" t="s">
        <v>61</v>
      </c>
      <c r="L654" t="s">
        <v>62</v>
      </c>
      <c r="M654" t="s">
        <v>63</v>
      </c>
      <c r="N654" t="s">
        <v>36</v>
      </c>
      <c r="O654" s="3">
        <v>88.88</v>
      </c>
      <c r="P654">
        <v>4</v>
      </c>
      <c r="Q654" s="4">
        <v>0.2</v>
      </c>
      <c r="R654" s="3">
        <v>284.416</v>
      </c>
      <c r="S654" s="3">
        <v>43.84</v>
      </c>
      <c r="T654" s="3">
        <v>175.36</v>
      </c>
      <c r="U654" s="3">
        <v>109.05599999999998</v>
      </c>
      <c r="V654" s="5">
        <v>0.38343834383438341</v>
      </c>
      <c r="W654">
        <v>8</v>
      </c>
      <c r="X654" t="s">
        <v>37</v>
      </c>
      <c r="Y654" s="6">
        <v>4</v>
      </c>
    </row>
    <row r="655" spans="1:25">
      <c r="A655" t="s">
        <v>1031</v>
      </c>
      <c r="B655" s="2">
        <v>45717</v>
      </c>
      <c r="C655">
        <v>2025</v>
      </c>
      <c r="D655" t="s">
        <v>26</v>
      </c>
      <c r="E655" t="s">
        <v>163</v>
      </c>
      <c r="F655" t="s">
        <v>39</v>
      </c>
      <c r="G655" t="s">
        <v>111</v>
      </c>
      <c r="H655" t="s">
        <v>112</v>
      </c>
      <c r="I655" t="s">
        <v>42</v>
      </c>
      <c r="J655" t="s">
        <v>829</v>
      </c>
      <c r="K655" t="s">
        <v>33</v>
      </c>
      <c r="L655" t="s">
        <v>88</v>
      </c>
      <c r="M655" t="s">
        <v>100</v>
      </c>
      <c r="N655" t="s">
        <v>57</v>
      </c>
      <c r="O655" s="3">
        <v>288.85000000000002</v>
      </c>
      <c r="P655">
        <v>1</v>
      </c>
      <c r="Q655" s="4">
        <v>0</v>
      </c>
      <c r="R655" s="3">
        <v>288.85000000000002</v>
      </c>
      <c r="S655" s="3">
        <v>156.87</v>
      </c>
      <c r="T655" s="3">
        <v>156.87</v>
      </c>
      <c r="U655" s="3">
        <v>131.98000000000002</v>
      </c>
      <c r="V655" s="5">
        <v>0.45691535398996019</v>
      </c>
      <c r="W655">
        <v>6</v>
      </c>
      <c r="X655" t="s">
        <v>37</v>
      </c>
      <c r="Y655" s="6">
        <v>4</v>
      </c>
    </row>
    <row r="656" spans="1:25">
      <c r="A656" t="s">
        <v>1032</v>
      </c>
      <c r="B656" s="2">
        <v>45718</v>
      </c>
      <c r="C656">
        <v>2025</v>
      </c>
      <c r="D656" t="s">
        <v>26</v>
      </c>
      <c r="E656" t="s">
        <v>163</v>
      </c>
      <c r="F656" t="s">
        <v>65</v>
      </c>
      <c r="G656" t="s">
        <v>76</v>
      </c>
      <c r="H656" t="s">
        <v>126</v>
      </c>
      <c r="I656" t="s">
        <v>42</v>
      </c>
      <c r="J656" t="s">
        <v>673</v>
      </c>
      <c r="K656" t="s">
        <v>47</v>
      </c>
      <c r="L656" t="s">
        <v>55</v>
      </c>
      <c r="M656" t="s">
        <v>69</v>
      </c>
      <c r="N656" t="s">
        <v>57</v>
      </c>
      <c r="O656" s="3">
        <v>43.62</v>
      </c>
      <c r="P656">
        <v>6</v>
      </c>
      <c r="Q656" s="4">
        <v>0</v>
      </c>
      <c r="R656" s="3">
        <v>261.71999999999997</v>
      </c>
      <c r="S656" s="3">
        <v>22.18</v>
      </c>
      <c r="T656" s="3">
        <v>133.07999999999998</v>
      </c>
      <c r="U656" s="3">
        <v>128.63999999999999</v>
      </c>
      <c r="V656" s="5">
        <v>0.49151765245300322</v>
      </c>
      <c r="W656">
        <v>3</v>
      </c>
      <c r="X656" t="s">
        <v>37</v>
      </c>
      <c r="Y656" s="6">
        <v>5</v>
      </c>
    </row>
    <row r="657" spans="1:25">
      <c r="A657" t="s">
        <v>1033</v>
      </c>
      <c r="B657" s="2">
        <v>45719</v>
      </c>
      <c r="C657">
        <v>2025</v>
      </c>
      <c r="D657" t="s">
        <v>26</v>
      </c>
      <c r="E657" t="s">
        <v>163</v>
      </c>
      <c r="F657" t="s">
        <v>65</v>
      </c>
      <c r="G657" t="s">
        <v>66</v>
      </c>
      <c r="H657" t="s">
        <v>67</v>
      </c>
      <c r="I657" t="s">
        <v>31</v>
      </c>
      <c r="J657" t="s">
        <v>385</v>
      </c>
      <c r="K657" t="s">
        <v>61</v>
      </c>
      <c r="L657" t="s">
        <v>62</v>
      </c>
      <c r="M657" t="s">
        <v>63</v>
      </c>
      <c r="N657" t="s">
        <v>44</v>
      </c>
      <c r="O657" s="3">
        <v>93.06</v>
      </c>
      <c r="P657">
        <v>2</v>
      </c>
      <c r="Q657" s="4">
        <v>0</v>
      </c>
      <c r="R657" s="3">
        <v>186.12</v>
      </c>
      <c r="S657" s="3">
        <v>42.94</v>
      </c>
      <c r="T657" s="3">
        <v>85.88</v>
      </c>
      <c r="U657" s="3">
        <v>100.24000000000001</v>
      </c>
      <c r="V657" s="5">
        <v>0.53857726198151734</v>
      </c>
      <c r="W657">
        <v>4</v>
      </c>
      <c r="X657" t="s">
        <v>37</v>
      </c>
      <c r="Y657" s="6">
        <v>5</v>
      </c>
    </row>
    <row r="658" spans="1:25">
      <c r="A658" t="s">
        <v>1034</v>
      </c>
      <c r="B658" s="2">
        <v>45720</v>
      </c>
      <c r="C658">
        <v>2025</v>
      </c>
      <c r="D658" t="s">
        <v>26</v>
      </c>
      <c r="E658" t="s">
        <v>163</v>
      </c>
      <c r="F658" t="s">
        <v>28</v>
      </c>
      <c r="G658" t="s">
        <v>29</v>
      </c>
      <c r="H658" t="s">
        <v>30</v>
      </c>
      <c r="I658" t="s">
        <v>71</v>
      </c>
      <c r="J658" t="s">
        <v>860</v>
      </c>
      <c r="K658" t="s">
        <v>33</v>
      </c>
      <c r="L658" t="s">
        <v>34</v>
      </c>
      <c r="M658" t="s">
        <v>150</v>
      </c>
      <c r="N658" t="s">
        <v>57</v>
      </c>
      <c r="O658" s="3">
        <v>424.49</v>
      </c>
      <c r="P658">
        <v>1</v>
      </c>
      <c r="Q658" s="4">
        <v>0.05</v>
      </c>
      <c r="R658" s="3">
        <v>403.26549999999997</v>
      </c>
      <c r="S658" s="3">
        <v>255.14</v>
      </c>
      <c r="T658" s="3">
        <v>255.14</v>
      </c>
      <c r="U658" s="3">
        <v>148.12549999999999</v>
      </c>
      <c r="V658" s="5">
        <v>0.36731508150337683</v>
      </c>
      <c r="W658">
        <v>3</v>
      </c>
      <c r="X658" t="s">
        <v>37</v>
      </c>
      <c r="Y658" s="6">
        <v>5</v>
      </c>
    </row>
    <row r="659" spans="1:25">
      <c r="A659" t="s">
        <v>1035</v>
      </c>
      <c r="B659" s="2">
        <v>45720</v>
      </c>
      <c r="C659">
        <v>2025</v>
      </c>
      <c r="D659" t="s">
        <v>26</v>
      </c>
      <c r="E659" t="s">
        <v>163</v>
      </c>
      <c r="F659" t="s">
        <v>28</v>
      </c>
      <c r="G659" t="s">
        <v>29</v>
      </c>
      <c r="H659" t="s">
        <v>30</v>
      </c>
      <c r="I659" t="s">
        <v>42</v>
      </c>
      <c r="J659" t="s">
        <v>608</v>
      </c>
      <c r="K659" t="s">
        <v>61</v>
      </c>
      <c r="L659" t="s">
        <v>80</v>
      </c>
      <c r="M659" t="s">
        <v>187</v>
      </c>
      <c r="N659" t="s">
        <v>57</v>
      </c>
      <c r="O659" s="3">
        <v>1331.57</v>
      </c>
      <c r="P659">
        <v>5</v>
      </c>
      <c r="Q659" s="4">
        <v>0.2</v>
      </c>
      <c r="R659" s="3">
        <v>5326.28</v>
      </c>
      <c r="S659" s="3">
        <v>855.38</v>
      </c>
      <c r="T659" s="3">
        <v>4276.8999999999996</v>
      </c>
      <c r="U659" s="3">
        <v>1049.3800000000001</v>
      </c>
      <c r="V659" s="5">
        <v>0.19701930803487616</v>
      </c>
      <c r="W659">
        <v>6</v>
      </c>
      <c r="X659" t="s">
        <v>37</v>
      </c>
      <c r="Y659" s="6">
        <v>5</v>
      </c>
    </row>
    <row r="660" spans="1:25">
      <c r="A660" t="s">
        <v>1036</v>
      </c>
      <c r="B660" s="2">
        <v>45722</v>
      </c>
      <c r="C660">
        <v>2025</v>
      </c>
      <c r="D660" t="s">
        <v>26</v>
      </c>
      <c r="E660" t="s">
        <v>163</v>
      </c>
      <c r="F660" t="s">
        <v>51</v>
      </c>
      <c r="G660" t="s">
        <v>97</v>
      </c>
      <c r="H660" t="s">
        <v>98</v>
      </c>
      <c r="I660" t="s">
        <v>31</v>
      </c>
      <c r="J660" t="s">
        <v>836</v>
      </c>
      <c r="K660" t="s">
        <v>47</v>
      </c>
      <c r="L660" t="s">
        <v>114</v>
      </c>
      <c r="M660" t="s">
        <v>115</v>
      </c>
      <c r="N660" t="s">
        <v>57</v>
      </c>
      <c r="O660" s="3">
        <v>18.45</v>
      </c>
      <c r="P660">
        <v>8</v>
      </c>
      <c r="Q660" s="4">
        <v>0.15</v>
      </c>
      <c r="R660" s="3">
        <v>125.46</v>
      </c>
      <c r="S660" s="3">
        <v>7.09</v>
      </c>
      <c r="T660" s="3">
        <v>56.72</v>
      </c>
      <c r="U660" s="3">
        <v>68.739999999999995</v>
      </c>
      <c r="V660" s="5">
        <v>0.54790371433126095</v>
      </c>
      <c r="W660">
        <v>9</v>
      </c>
      <c r="X660" t="s">
        <v>58</v>
      </c>
      <c r="Y660" s="6">
        <v>3</v>
      </c>
    </row>
    <row r="661" spans="1:25">
      <c r="A661" t="s">
        <v>1037</v>
      </c>
      <c r="B661" s="2">
        <v>45723</v>
      </c>
      <c r="C661">
        <v>2025</v>
      </c>
      <c r="D661" t="s">
        <v>26</v>
      </c>
      <c r="E661" t="s">
        <v>163</v>
      </c>
      <c r="F661" t="s">
        <v>28</v>
      </c>
      <c r="G661" t="s">
        <v>29</v>
      </c>
      <c r="H661" t="s">
        <v>106</v>
      </c>
      <c r="I661" t="s">
        <v>71</v>
      </c>
      <c r="J661" t="s">
        <v>968</v>
      </c>
      <c r="K661" t="s">
        <v>33</v>
      </c>
      <c r="L661" t="s">
        <v>34</v>
      </c>
      <c r="M661" t="s">
        <v>35</v>
      </c>
      <c r="N661" t="s">
        <v>36</v>
      </c>
      <c r="O661" s="3">
        <v>184.38</v>
      </c>
      <c r="P661">
        <v>1</v>
      </c>
      <c r="Q661" s="4">
        <v>0</v>
      </c>
      <c r="R661" s="3">
        <v>184.38</v>
      </c>
      <c r="S661" s="3">
        <v>89.45</v>
      </c>
      <c r="T661" s="3">
        <v>89.45</v>
      </c>
      <c r="U661" s="3">
        <v>94.929999999999993</v>
      </c>
      <c r="V661" s="5">
        <v>0.51486061394945215</v>
      </c>
      <c r="W661">
        <v>5</v>
      </c>
      <c r="X661" t="s">
        <v>37</v>
      </c>
      <c r="Y661" s="6">
        <v>5</v>
      </c>
    </row>
    <row r="662" spans="1:25">
      <c r="A662" t="s">
        <v>1038</v>
      </c>
      <c r="B662" s="2">
        <v>45724</v>
      </c>
      <c r="C662">
        <v>2025</v>
      </c>
      <c r="D662" t="s">
        <v>26</v>
      </c>
      <c r="E662" t="s">
        <v>163</v>
      </c>
      <c r="F662" t="s">
        <v>51</v>
      </c>
      <c r="G662" t="s">
        <v>97</v>
      </c>
      <c r="H662" t="s">
        <v>98</v>
      </c>
      <c r="I662" t="s">
        <v>71</v>
      </c>
      <c r="J662" t="s">
        <v>639</v>
      </c>
      <c r="K662" t="s">
        <v>33</v>
      </c>
      <c r="L662" t="s">
        <v>34</v>
      </c>
      <c r="M662" t="s">
        <v>150</v>
      </c>
      <c r="N662" t="s">
        <v>44</v>
      </c>
      <c r="O662" s="3">
        <v>439.7</v>
      </c>
      <c r="P662">
        <v>3</v>
      </c>
      <c r="Q662" s="4">
        <v>0.2</v>
      </c>
      <c r="R662" s="3">
        <v>1055.28</v>
      </c>
      <c r="S662" s="3">
        <v>254.46</v>
      </c>
      <c r="T662" s="3">
        <v>763.38</v>
      </c>
      <c r="U662" s="3">
        <v>291.89999999999998</v>
      </c>
      <c r="V662" s="5">
        <v>0.27660905162610872</v>
      </c>
      <c r="W662">
        <v>10</v>
      </c>
      <c r="X662" t="s">
        <v>37</v>
      </c>
      <c r="Y662" s="6">
        <v>4</v>
      </c>
    </row>
    <row r="663" spans="1:25">
      <c r="A663" t="s">
        <v>1039</v>
      </c>
      <c r="B663" s="2">
        <v>45724</v>
      </c>
      <c r="C663">
        <v>2025</v>
      </c>
      <c r="D663" t="s">
        <v>26</v>
      </c>
      <c r="E663" t="s">
        <v>163</v>
      </c>
      <c r="F663" t="s">
        <v>39</v>
      </c>
      <c r="G663" t="s">
        <v>111</v>
      </c>
      <c r="H663" t="s">
        <v>112</v>
      </c>
      <c r="I663" t="s">
        <v>78</v>
      </c>
      <c r="J663" t="s">
        <v>248</v>
      </c>
      <c r="K663" t="s">
        <v>33</v>
      </c>
      <c r="L663" t="s">
        <v>34</v>
      </c>
      <c r="M663" t="s">
        <v>150</v>
      </c>
      <c r="N663" t="s">
        <v>36</v>
      </c>
      <c r="O663" s="3">
        <v>411.34</v>
      </c>
      <c r="P663">
        <v>3</v>
      </c>
      <c r="Q663" s="4">
        <v>0</v>
      </c>
      <c r="R663" s="3">
        <v>1234.02</v>
      </c>
      <c r="S663" s="3">
        <v>255.51</v>
      </c>
      <c r="T663" s="3">
        <v>766.53</v>
      </c>
      <c r="U663" s="3">
        <v>467.49</v>
      </c>
      <c r="V663" s="5">
        <v>0.37883502698497595</v>
      </c>
      <c r="W663">
        <v>6</v>
      </c>
      <c r="X663" t="s">
        <v>37</v>
      </c>
      <c r="Y663" s="6">
        <v>4</v>
      </c>
    </row>
    <row r="664" spans="1:25">
      <c r="A664" t="s">
        <v>1040</v>
      </c>
      <c r="B664" s="2">
        <v>45724</v>
      </c>
      <c r="C664">
        <v>2025</v>
      </c>
      <c r="D664" t="s">
        <v>26</v>
      </c>
      <c r="E664" t="s">
        <v>163</v>
      </c>
      <c r="F664" t="s">
        <v>28</v>
      </c>
      <c r="G664" t="s">
        <v>29</v>
      </c>
      <c r="H664" t="s">
        <v>60</v>
      </c>
      <c r="I664" t="s">
        <v>31</v>
      </c>
      <c r="J664" t="s">
        <v>495</v>
      </c>
      <c r="K664" t="s">
        <v>33</v>
      </c>
      <c r="L664" t="s">
        <v>34</v>
      </c>
      <c r="M664" t="s">
        <v>35</v>
      </c>
      <c r="N664" t="s">
        <v>57</v>
      </c>
      <c r="O664" s="3">
        <v>171.42</v>
      </c>
      <c r="P664">
        <v>4</v>
      </c>
      <c r="Q664" s="4">
        <v>0</v>
      </c>
      <c r="R664" s="3">
        <v>685.68</v>
      </c>
      <c r="S664" s="3">
        <v>89.6</v>
      </c>
      <c r="T664" s="3">
        <v>358.4</v>
      </c>
      <c r="U664" s="3">
        <v>327.27999999999997</v>
      </c>
      <c r="V664" s="5">
        <v>0.47730719869326799</v>
      </c>
      <c r="W664">
        <v>6</v>
      </c>
      <c r="X664" t="s">
        <v>37</v>
      </c>
      <c r="Y664" s="6">
        <v>4</v>
      </c>
    </row>
    <row r="665" spans="1:25">
      <c r="A665" t="s">
        <v>1041</v>
      </c>
      <c r="B665" s="2">
        <v>45724</v>
      </c>
      <c r="C665">
        <v>2025</v>
      </c>
      <c r="D665" t="s">
        <v>26</v>
      </c>
      <c r="E665" t="s">
        <v>163</v>
      </c>
      <c r="F665" t="s">
        <v>28</v>
      </c>
      <c r="G665" t="s">
        <v>29</v>
      </c>
      <c r="H665" t="s">
        <v>30</v>
      </c>
      <c r="I665" t="s">
        <v>78</v>
      </c>
      <c r="J665" t="s">
        <v>766</v>
      </c>
      <c r="K665" t="s">
        <v>47</v>
      </c>
      <c r="L665" t="s">
        <v>114</v>
      </c>
      <c r="M665" t="s">
        <v>120</v>
      </c>
      <c r="N665" t="s">
        <v>57</v>
      </c>
      <c r="O665" s="3">
        <v>25.27</v>
      </c>
      <c r="P665">
        <v>5</v>
      </c>
      <c r="Q665" s="4">
        <v>0.1</v>
      </c>
      <c r="R665" s="3">
        <v>113.715</v>
      </c>
      <c r="S665" s="3">
        <v>11.04</v>
      </c>
      <c r="T665" s="3">
        <v>55.199999999999996</v>
      </c>
      <c r="U665" s="3">
        <v>58.515000000000008</v>
      </c>
      <c r="V665" s="5">
        <v>0.51457591346788023</v>
      </c>
      <c r="W665">
        <v>4</v>
      </c>
      <c r="X665" t="s">
        <v>37</v>
      </c>
      <c r="Y665" s="6">
        <v>4</v>
      </c>
    </row>
    <row r="666" spans="1:25">
      <c r="A666" t="s">
        <v>1042</v>
      </c>
      <c r="B666" s="2">
        <v>45726</v>
      </c>
      <c r="C666">
        <v>2025</v>
      </c>
      <c r="D666" t="s">
        <v>26</v>
      </c>
      <c r="E666" t="s">
        <v>163</v>
      </c>
      <c r="F666" t="s">
        <v>65</v>
      </c>
      <c r="G666" t="s">
        <v>66</v>
      </c>
      <c r="H666" t="s">
        <v>67</v>
      </c>
      <c r="I666" t="s">
        <v>71</v>
      </c>
      <c r="J666" t="s">
        <v>215</v>
      </c>
      <c r="K666" t="s">
        <v>47</v>
      </c>
      <c r="L666" t="s">
        <v>55</v>
      </c>
      <c r="M666" t="s">
        <v>69</v>
      </c>
      <c r="N666" t="s">
        <v>57</v>
      </c>
      <c r="O666" s="3">
        <v>45.89</v>
      </c>
      <c r="P666">
        <v>1</v>
      </c>
      <c r="Q666" s="4">
        <v>0.15</v>
      </c>
      <c r="R666" s="3">
        <v>39.006500000000003</v>
      </c>
      <c r="S666" s="3">
        <v>22.42</v>
      </c>
      <c r="T666" s="3">
        <v>22.42</v>
      </c>
      <c r="U666" s="3">
        <v>16.586500000000001</v>
      </c>
      <c r="V666" s="5">
        <v>0.42522400112801712</v>
      </c>
      <c r="W666">
        <v>7</v>
      </c>
      <c r="X666" t="s">
        <v>37</v>
      </c>
      <c r="Y666" s="6">
        <v>4</v>
      </c>
    </row>
    <row r="667" spans="1:25">
      <c r="A667" t="s">
        <v>1043</v>
      </c>
      <c r="B667" s="2">
        <v>45727</v>
      </c>
      <c r="C667">
        <v>2025</v>
      </c>
      <c r="D667" t="s">
        <v>26</v>
      </c>
      <c r="E667" t="s">
        <v>163</v>
      </c>
      <c r="F667" t="s">
        <v>65</v>
      </c>
      <c r="G667" t="s">
        <v>76</v>
      </c>
      <c r="H667" t="s">
        <v>126</v>
      </c>
      <c r="I667" t="s">
        <v>31</v>
      </c>
      <c r="J667" t="s">
        <v>525</v>
      </c>
      <c r="K667" t="s">
        <v>61</v>
      </c>
      <c r="L667" t="s">
        <v>80</v>
      </c>
      <c r="M667" t="s">
        <v>81</v>
      </c>
      <c r="N667" t="s">
        <v>57</v>
      </c>
      <c r="O667" s="3">
        <v>1007.29</v>
      </c>
      <c r="P667">
        <v>2</v>
      </c>
      <c r="Q667" s="4">
        <v>0.1</v>
      </c>
      <c r="R667" s="3">
        <v>1813.1220000000001</v>
      </c>
      <c r="S667" s="3">
        <v>663.01</v>
      </c>
      <c r="T667" s="3">
        <v>1326.02</v>
      </c>
      <c r="U667" s="3">
        <v>487.10200000000009</v>
      </c>
      <c r="V667" s="5">
        <v>0.2686537364832593</v>
      </c>
      <c r="W667">
        <v>6</v>
      </c>
      <c r="X667" t="s">
        <v>37</v>
      </c>
      <c r="Y667" s="6">
        <v>4</v>
      </c>
    </row>
    <row r="668" spans="1:25">
      <c r="A668" t="s">
        <v>1044</v>
      </c>
      <c r="B668" s="2">
        <v>45731</v>
      </c>
      <c r="C668">
        <v>2025</v>
      </c>
      <c r="D668" t="s">
        <v>26</v>
      </c>
      <c r="E668" t="s">
        <v>163</v>
      </c>
      <c r="F668" t="s">
        <v>28</v>
      </c>
      <c r="G668" t="s">
        <v>29</v>
      </c>
      <c r="H668" t="s">
        <v>60</v>
      </c>
      <c r="I668" t="s">
        <v>42</v>
      </c>
      <c r="J668" t="s">
        <v>117</v>
      </c>
      <c r="K668" t="s">
        <v>33</v>
      </c>
      <c r="L668" t="s">
        <v>73</v>
      </c>
      <c r="M668" t="s">
        <v>138</v>
      </c>
      <c r="N668" t="s">
        <v>36</v>
      </c>
      <c r="O668" s="3">
        <v>331.22</v>
      </c>
      <c r="P668">
        <v>2</v>
      </c>
      <c r="Q668" s="4">
        <v>0</v>
      </c>
      <c r="R668" s="3">
        <v>662.44</v>
      </c>
      <c r="S668" s="3">
        <v>182.08</v>
      </c>
      <c r="T668" s="3">
        <v>364.16</v>
      </c>
      <c r="U668" s="3">
        <v>298.28000000000003</v>
      </c>
      <c r="V668" s="5">
        <v>0.45027474186341404</v>
      </c>
      <c r="W668">
        <v>4</v>
      </c>
      <c r="X668" t="s">
        <v>37</v>
      </c>
      <c r="Y668" s="6">
        <v>5</v>
      </c>
    </row>
    <row r="669" spans="1:25">
      <c r="A669" t="s">
        <v>1045</v>
      </c>
      <c r="B669" s="2">
        <v>45732</v>
      </c>
      <c r="C669">
        <v>2025</v>
      </c>
      <c r="D669" t="s">
        <v>26</v>
      </c>
      <c r="E669" t="s">
        <v>163</v>
      </c>
      <c r="F669" t="s">
        <v>28</v>
      </c>
      <c r="G669" t="s">
        <v>29</v>
      </c>
      <c r="H669" t="s">
        <v>106</v>
      </c>
      <c r="I669" t="s">
        <v>71</v>
      </c>
      <c r="J669" t="s">
        <v>164</v>
      </c>
      <c r="K669" t="s">
        <v>33</v>
      </c>
      <c r="L669" t="s">
        <v>73</v>
      </c>
      <c r="M669" t="s">
        <v>74</v>
      </c>
      <c r="N669" t="s">
        <v>57</v>
      </c>
      <c r="O669" s="3">
        <v>693.56</v>
      </c>
      <c r="P669">
        <v>2</v>
      </c>
      <c r="Q669" s="4">
        <v>0</v>
      </c>
      <c r="R669" s="3">
        <v>1387.12</v>
      </c>
      <c r="S669" s="3">
        <v>410.75</v>
      </c>
      <c r="T669" s="3">
        <v>821.5</v>
      </c>
      <c r="U669" s="3">
        <v>565.61999999999989</v>
      </c>
      <c r="V669" s="5">
        <v>0.40776573043428105</v>
      </c>
      <c r="W669">
        <v>5</v>
      </c>
      <c r="X669" t="s">
        <v>37</v>
      </c>
      <c r="Y669" s="6">
        <v>5</v>
      </c>
    </row>
    <row r="670" spans="1:25">
      <c r="A670" t="s">
        <v>1046</v>
      </c>
      <c r="B670" s="2">
        <v>45732</v>
      </c>
      <c r="C670">
        <v>2025</v>
      </c>
      <c r="D670" t="s">
        <v>26</v>
      </c>
      <c r="E670" t="s">
        <v>163</v>
      </c>
      <c r="F670" t="s">
        <v>65</v>
      </c>
      <c r="G670" t="s">
        <v>76</v>
      </c>
      <c r="H670" t="s">
        <v>77</v>
      </c>
      <c r="I670" t="s">
        <v>71</v>
      </c>
      <c r="J670" t="s">
        <v>364</v>
      </c>
      <c r="K670" t="s">
        <v>33</v>
      </c>
      <c r="L670" t="s">
        <v>34</v>
      </c>
      <c r="M670" t="s">
        <v>35</v>
      </c>
      <c r="N670" t="s">
        <v>57</v>
      </c>
      <c r="O670" s="3">
        <v>176.2</v>
      </c>
      <c r="P670">
        <v>5</v>
      </c>
      <c r="Q670" s="4">
        <v>0</v>
      </c>
      <c r="R670" s="3">
        <v>881</v>
      </c>
      <c r="S670" s="3">
        <v>93.39</v>
      </c>
      <c r="T670" s="3">
        <v>466.95</v>
      </c>
      <c r="U670" s="3">
        <v>414.05</v>
      </c>
      <c r="V670" s="5">
        <v>0.46997729852440412</v>
      </c>
      <c r="W670">
        <v>5</v>
      </c>
      <c r="X670" t="s">
        <v>37</v>
      </c>
      <c r="Y670" s="6">
        <v>5</v>
      </c>
    </row>
    <row r="671" spans="1:25">
      <c r="A671" t="s">
        <v>1047</v>
      </c>
      <c r="B671" s="2">
        <v>45732</v>
      </c>
      <c r="C671">
        <v>2025</v>
      </c>
      <c r="D671" t="s">
        <v>26</v>
      </c>
      <c r="E671" t="s">
        <v>163</v>
      </c>
      <c r="F671" t="s">
        <v>28</v>
      </c>
      <c r="G671" t="s">
        <v>29</v>
      </c>
      <c r="H671" t="s">
        <v>106</v>
      </c>
      <c r="I671" t="s">
        <v>78</v>
      </c>
      <c r="J671" t="s">
        <v>177</v>
      </c>
      <c r="K671" t="s">
        <v>33</v>
      </c>
      <c r="L671" t="s">
        <v>88</v>
      </c>
      <c r="M671" t="s">
        <v>89</v>
      </c>
      <c r="N671" t="s">
        <v>44</v>
      </c>
      <c r="O671" s="3">
        <v>245.34</v>
      </c>
      <c r="P671">
        <v>5</v>
      </c>
      <c r="Q671" s="4">
        <v>0.05</v>
      </c>
      <c r="R671" s="3">
        <v>1165.365</v>
      </c>
      <c r="S671" s="3">
        <v>126.58</v>
      </c>
      <c r="T671" s="3">
        <v>632.9</v>
      </c>
      <c r="U671" s="3">
        <v>532.46500000000003</v>
      </c>
      <c r="V671" s="5">
        <v>0.45690835060260093</v>
      </c>
      <c r="W671">
        <v>1</v>
      </c>
      <c r="X671" t="s">
        <v>37</v>
      </c>
      <c r="Y671" s="6">
        <v>5</v>
      </c>
    </row>
    <row r="672" spans="1:25">
      <c r="A672" t="s">
        <v>1048</v>
      </c>
      <c r="B672" s="2">
        <v>45733</v>
      </c>
      <c r="C672">
        <v>2025</v>
      </c>
      <c r="D672" t="s">
        <v>26</v>
      </c>
      <c r="E672" t="s">
        <v>163</v>
      </c>
      <c r="F672" t="s">
        <v>65</v>
      </c>
      <c r="G672" t="s">
        <v>76</v>
      </c>
      <c r="H672" t="s">
        <v>126</v>
      </c>
      <c r="I672" t="s">
        <v>42</v>
      </c>
      <c r="J672" t="s">
        <v>1049</v>
      </c>
      <c r="K672" t="s">
        <v>61</v>
      </c>
      <c r="L672" t="s">
        <v>62</v>
      </c>
      <c r="M672" t="s">
        <v>195</v>
      </c>
      <c r="N672" t="s">
        <v>36</v>
      </c>
      <c r="O672" s="3">
        <v>74.25</v>
      </c>
      <c r="P672">
        <v>5</v>
      </c>
      <c r="Q672" s="4">
        <v>0.2</v>
      </c>
      <c r="R672" s="3">
        <v>297</v>
      </c>
      <c r="S672" s="3">
        <v>31.61</v>
      </c>
      <c r="T672" s="3">
        <v>158.05000000000001</v>
      </c>
      <c r="U672" s="3">
        <v>138.94999999999999</v>
      </c>
      <c r="V672" s="5">
        <v>0.46784511784511779</v>
      </c>
      <c r="W672">
        <v>2</v>
      </c>
      <c r="X672" t="s">
        <v>37</v>
      </c>
      <c r="Y672" s="6">
        <v>4</v>
      </c>
    </row>
    <row r="673" spans="1:25">
      <c r="A673" t="s">
        <v>1050</v>
      </c>
      <c r="B673" s="2">
        <v>45733</v>
      </c>
      <c r="C673">
        <v>2025</v>
      </c>
      <c r="D673" t="s">
        <v>26</v>
      </c>
      <c r="E673" t="s">
        <v>163</v>
      </c>
      <c r="F673" t="s">
        <v>51</v>
      </c>
      <c r="G673" t="s">
        <v>52</v>
      </c>
      <c r="H673" t="s">
        <v>102</v>
      </c>
      <c r="I673" t="s">
        <v>42</v>
      </c>
      <c r="J673" t="s">
        <v>493</v>
      </c>
      <c r="K673" t="s">
        <v>61</v>
      </c>
      <c r="L673" t="s">
        <v>62</v>
      </c>
      <c r="M673" t="s">
        <v>63</v>
      </c>
      <c r="N673" t="s">
        <v>36</v>
      </c>
      <c r="O673" s="3">
        <v>89.79</v>
      </c>
      <c r="P673">
        <v>3</v>
      </c>
      <c r="Q673" s="4">
        <v>0.15</v>
      </c>
      <c r="R673" s="3">
        <v>228.96449999999999</v>
      </c>
      <c r="S673" s="3">
        <v>43.23</v>
      </c>
      <c r="T673" s="3">
        <v>129.69</v>
      </c>
      <c r="U673" s="3">
        <v>99.274499999999989</v>
      </c>
      <c r="V673" s="5">
        <v>0.43358031485230242</v>
      </c>
      <c r="W673">
        <v>9</v>
      </c>
      <c r="X673" t="s">
        <v>37</v>
      </c>
      <c r="Y673" s="6">
        <v>4</v>
      </c>
    </row>
    <row r="674" spans="1:25">
      <c r="A674" t="s">
        <v>1051</v>
      </c>
      <c r="B674" s="2">
        <v>45734</v>
      </c>
      <c r="C674">
        <v>2025</v>
      </c>
      <c r="D674" t="s">
        <v>26</v>
      </c>
      <c r="E674" t="s">
        <v>163</v>
      </c>
      <c r="F674" t="s">
        <v>65</v>
      </c>
      <c r="G674" t="s">
        <v>76</v>
      </c>
      <c r="H674" t="s">
        <v>126</v>
      </c>
      <c r="I674" t="s">
        <v>78</v>
      </c>
      <c r="J674" t="s">
        <v>1052</v>
      </c>
      <c r="K674" t="s">
        <v>33</v>
      </c>
      <c r="L674" t="s">
        <v>34</v>
      </c>
      <c r="M674" t="s">
        <v>150</v>
      </c>
      <c r="N674" t="s">
        <v>57</v>
      </c>
      <c r="O674" s="3">
        <v>438.23</v>
      </c>
      <c r="P674">
        <v>1</v>
      </c>
      <c r="Q674" s="4">
        <v>0.15</v>
      </c>
      <c r="R674" s="3">
        <v>372.49549999999999</v>
      </c>
      <c r="S674" s="3">
        <v>250.97</v>
      </c>
      <c r="T674" s="3">
        <v>250.97</v>
      </c>
      <c r="U674" s="3">
        <v>121.52549999999999</v>
      </c>
      <c r="V674" s="5">
        <v>0.32624689425778297</v>
      </c>
      <c r="W674">
        <v>5</v>
      </c>
      <c r="X674" t="s">
        <v>37</v>
      </c>
      <c r="Y674" s="6">
        <v>4</v>
      </c>
    </row>
    <row r="675" spans="1:25">
      <c r="A675" t="s">
        <v>1053</v>
      </c>
      <c r="B675" s="2">
        <v>45736</v>
      </c>
      <c r="C675">
        <v>2025</v>
      </c>
      <c r="D675" t="s">
        <v>26</v>
      </c>
      <c r="E675" t="s">
        <v>163</v>
      </c>
      <c r="F675" t="s">
        <v>39</v>
      </c>
      <c r="G675" t="s">
        <v>91</v>
      </c>
      <c r="H675" t="s">
        <v>92</v>
      </c>
      <c r="I675" t="s">
        <v>78</v>
      </c>
      <c r="J675" t="s">
        <v>812</v>
      </c>
      <c r="K675" t="s">
        <v>33</v>
      </c>
      <c r="L675" t="s">
        <v>73</v>
      </c>
      <c r="M675" t="s">
        <v>74</v>
      </c>
      <c r="N675" t="s">
        <v>57</v>
      </c>
      <c r="O675" s="3">
        <v>664.87</v>
      </c>
      <c r="P675">
        <v>5</v>
      </c>
      <c r="Q675" s="4">
        <v>0</v>
      </c>
      <c r="R675" s="3">
        <v>3324.35</v>
      </c>
      <c r="S675" s="3">
        <v>432.59</v>
      </c>
      <c r="T675" s="3">
        <v>2162.9499999999998</v>
      </c>
      <c r="U675" s="3">
        <v>1161.4000000000001</v>
      </c>
      <c r="V675" s="5">
        <v>0.34936152932152154</v>
      </c>
      <c r="W675">
        <v>6</v>
      </c>
      <c r="X675" t="s">
        <v>37</v>
      </c>
      <c r="Y675" s="6">
        <v>4</v>
      </c>
    </row>
    <row r="676" spans="1:25">
      <c r="A676" t="s">
        <v>1054</v>
      </c>
      <c r="B676" s="2">
        <v>45736</v>
      </c>
      <c r="C676">
        <v>2025</v>
      </c>
      <c r="D676" t="s">
        <v>26</v>
      </c>
      <c r="E676" t="s">
        <v>163</v>
      </c>
      <c r="F676" t="s">
        <v>65</v>
      </c>
      <c r="G676" t="s">
        <v>76</v>
      </c>
      <c r="H676" t="s">
        <v>77</v>
      </c>
      <c r="I676" t="s">
        <v>71</v>
      </c>
      <c r="J676" t="s">
        <v>127</v>
      </c>
      <c r="K676" t="s">
        <v>61</v>
      </c>
      <c r="L676" t="s">
        <v>62</v>
      </c>
      <c r="M676" t="s">
        <v>63</v>
      </c>
      <c r="N676" t="s">
        <v>57</v>
      </c>
      <c r="O676" s="3">
        <v>84.69</v>
      </c>
      <c r="P676">
        <v>3</v>
      </c>
      <c r="Q676" s="4">
        <v>0</v>
      </c>
      <c r="R676" s="3">
        <v>254.07</v>
      </c>
      <c r="S676" s="3">
        <v>43.75</v>
      </c>
      <c r="T676" s="3">
        <v>131.25</v>
      </c>
      <c r="U676" s="3">
        <v>122.82</v>
      </c>
      <c r="V676" s="5">
        <v>0.48341008383516354</v>
      </c>
      <c r="W676">
        <v>3</v>
      </c>
      <c r="X676" t="s">
        <v>37</v>
      </c>
      <c r="Y676" s="6">
        <v>5</v>
      </c>
    </row>
    <row r="677" spans="1:25">
      <c r="A677" t="s">
        <v>1055</v>
      </c>
      <c r="B677" s="2">
        <v>45737</v>
      </c>
      <c r="C677">
        <v>2025</v>
      </c>
      <c r="D677" t="s">
        <v>26</v>
      </c>
      <c r="E677" t="s">
        <v>163</v>
      </c>
      <c r="F677" t="s">
        <v>65</v>
      </c>
      <c r="G677" t="s">
        <v>76</v>
      </c>
      <c r="H677" t="s">
        <v>126</v>
      </c>
      <c r="I677" t="s">
        <v>42</v>
      </c>
      <c r="J677" t="s">
        <v>621</v>
      </c>
      <c r="K677" t="s">
        <v>61</v>
      </c>
      <c r="L677" t="s">
        <v>62</v>
      </c>
      <c r="M677" t="s">
        <v>195</v>
      </c>
      <c r="N677" t="s">
        <v>36</v>
      </c>
      <c r="O677" s="3">
        <v>78.61</v>
      </c>
      <c r="P677">
        <v>4</v>
      </c>
      <c r="Q677" s="4">
        <v>0</v>
      </c>
      <c r="R677" s="3">
        <v>314.44</v>
      </c>
      <c r="S677" s="3">
        <v>31.48</v>
      </c>
      <c r="T677" s="3">
        <v>125.92</v>
      </c>
      <c r="U677" s="3">
        <v>188.51999999999998</v>
      </c>
      <c r="V677" s="5">
        <v>0.59954204299707414</v>
      </c>
      <c r="W677">
        <v>7</v>
      </c>
      <c r="X677" t="s">
        <v>37</v>
      </c>
      <c r="Y677" s="6">
        <v>4</v>
      </c>
    </row>
    <row r="678" spans="1:25">
      <c r="A678" t="s">
        <v>1056</v>
      </c>
      <c r="B678" s="2">
        <v>45739</v>
      </c>
      <c r="C678">
        <v>2025</v>
      </c>
      <c r="D678" t="s">
        <v>26</v>
      </c>
      <c r="E678" t="s">
        <v>163</v>
      </c>
      <c r="F678" t="s">
        <v>39</v>
      </c>
      <c r="G678" t="s">
        <v>91</v>
      </c>
      <c r="H678" t="s">
        <v>92</v>
      </c>
      <c r="I678" t="s">
        <v>78</v>
      </c>
      <c r="J678" t="s">
        <v>710</v>
      </c>
      <c r="K678" t="s">
        <v>47</v>
      </c>
      <c r="L678" t="s">
        <v>55</v>
      </c>
      <c r="M678" t="s">
        <v>69</v>
      </c>
      <c r="N678" t="s">
        <v>57</v>
      </c>
      <c r="O678" s="3">
        <v>45.57</v>
      </c>
      <c r="P678">
        <v>1</v>
      </c>
      <c r="Q678" s="4">
        <v>0</v>
      </c>
      <c r="R678" s="3">
        <v>45.57</v>
      </c>
      <c r="S678" s="3">
        <v>22.03</v>
      </c>
      <c r="T678" s="3">
        <v>22.03</v>
      </c>
      <c r="U678" s="3">
        <v>23.54</v>
      </c>
      <c r="V678" s="5">
        <v>0.51656791748957642</v>
      </c>
      <c r="W678">
        <v>6</v>
      </c>
      <c r="X678" t="s">
        <v>37</v>
      </c>
      <c r="Y678" s="6">
        <v>4</v>
      </c>
    </row>
    <row r="679" spans="1:25">
      <c r="A679" t="s">
        <v>1057</v>
      </c>
      <c r="B679" s="2">
        <v>45739</v>
      </c>
      <c r="C679">
        <v>2025</v>
      </c>
      <c r="D679" t="s">
        <v>26</v>
      </c>
      <c r="E679" t="s">
        <v>163</v>
      </c>
      <c r="F679" t="s">
        <v>51</v>
      </c>
      <c r="G679" t="s">
        <v>97</v>
      </c>
      <c r="H679" t="s">
        <v>98</v>
      </c>
      <c r="I679" t="s">
        <v>78</v>
      </c>
      <c r="J679" t="s">
        <v>235</v>
      </c>
      <c r="K679" t="s">
        <v>33</v>
      </c>
      <c r="L679" t="s">
        <v>88</v>
      </c>
      <c r="M679" t="s">
        <v>100</v>
      </c>
      <c r="N679" t="s">
        <v>57</v>
      </c>
      <c r="O679" s="3">
        <v>286.41000000000003</v>
      </c>
      <c r="P679">
        <v>5</v>
      </c>
      <c r="Q679" s="4">
        <v>0.15</v>
      </c>
      <c r="R679" s="3">
        <v>1217.2425000000001</v>
      </c>
      <c r="S679" s="3">
        <v>158.88999999999999</v>
      </c>
      <c r="T679" s="3">
        <v>794.44999999999993</v>
      </c>
      <c r="U679" s="3">
        <v>422.79250000000013</v>
      </c>
      <c r="V679" s="5">
        <v>0.34733629494533763</v>
      </c>
      <c r="W679">
        <v>9</v>
      </c>
      <c r="X679" t="s">
        <v>37</v>
      </c>
      <c r="Y679" s="6">
        <v>3</v>
      </c>
    </row>
    <row r="680" spans="1:25">
      <c r="A680" t="s">
        <v>1058</v>
      </c>
      <c r="B680" s="2">
        <v>45744</v>
      </c>
      <c r="C680">
        <v>2025</v>
      </c>
      <c r="D680" t="s">
        <v>26</v>
      </c>
      <c r="E680" t="s">
        <v>163</v>
      </c>
      <c r="F680" t="s">
        <v>51</v>
      </c>
      <c r="G680" t="s">
        <v>52</v>
      </c>
      <c r="H680" t="s">
        <v>102</v>
      </c>
      <c r="I680" t="s">
        <v>78</v>
      </c>
      <c r="J680" t="s">
        <v>239</v>
      </c>
      <c r="K680" t="s">
        <v>33</v>
      </c>
      <c r="L680" t="s">
        <v>73</v>
      </c>
      <c r="M680" t="s">
        <v>74</v>
      </c>
      <c r="N680" t="s">
        <v>36</v>
      </c>
      <c r="O680" s="3">
        <v>688.66</v>
      </c>
      <c r="P680">
        <v>4</v>
      </c>
      <c r="Q680" s="4">
        <v>0.1</v>
      </c>
      <c r="R680" s="3">
        <v>2479.1759999999999</v>
      </c>
      <c r="S680" s="3">
        <v>431.16</v>
      </c>
      <c r="T680" s="3">
        <v>1724.64</v>
      </c>
      <c r="U680" s="3">
        <v>754.53599999999983</v>
      </c>
      <c r="V680" s="5">
        <v>0.30434950967579544</v>
      </c>
      <c r="W680">
        <v>6</v>
      </c>
      <c r="X680" t="s">
        <v>37</v>
      </c>
      <c r="Y680" s="6">
        <v>5</v>
      </c>
    </row>
    <row r="681" spans="1:25">
      <c r="A681" t="s">
        <v>1059</v>
      </c>
      <c r="B681" s="2">
        <v>45744</v>
      </c>
      <c r="C681">
        <v>2025</v>
      </c>
      <c r="D681" t="s">
        <v>26</v>
      </c>
      <c r="E681" t="s">
        <v>163</v>
      </c>
      <c r="F681" t="s">
        <v>28</v>
      </c>
      <c r="G681" t="s">
        <v>29</v>
      </c>
      <c r="H681" t="s">
        <v>106</v>
      </c>
      <c r="I681" t="s">
        <v>31</v>
      </c>
      <c r="J681" t="s">
        <v>1060</v>
      </c>
      <c r="K681" t="s">
        <v>33</v>
      </c>
      <c r="L681" t="s">
        <v>34</v>
      </c>
      <c r="M681" t="s">
        <v>35</v>
      </c>
      <c r="N681" t="s">
        <v>57</v>
      </c>
      <c r="O681" s="3">
        <v>187.23</v>
      </c>
      <c r="P681">
        <v>1</v>
      </c>
      <c r="Q681" s="4">
        <v>0.15</v>
      </c>
      <c r="R681" s="3">
        <v>159.1455</v>
      </c>
      <c r="S681" s="3">
        <v>91.04</v>
      </c>
      <c r="T681" s="3">
        <v>91.04</v>
      </c>
      <c r="U681" s="3">
        <v>68.105499999999992</v>
      </c>
      <c r="V681" s="5">
        <v>0.42794486806098819</v>
      </c>
      <c r="W681">
        <v>5</v>
      </c>
      <c r="X681" t="s">
        <v>37</v>
      </c>
      <c r="Y681" s="6">
        <v>4</v>
      </c>
    </row>
    <row r="682" spans="1:25">
      <c r="A682" t="s">
        <v>1061</v>
      </c>
      <c r="B682" s="2">
        <v>45744</v>
      </c>
      <c r="C682">
        <v>2025</v>
      </c>
      <c r="D682" t="s">
        <v>26</v>
      </c>
      <c r="E682" t="s">
        <v>163</v>
      </c>
      <c r="F682" t="s">
        <v>51</v>
      </c>
      <c r="G682" t="s">
        <v>52</v>
      </c>
      <c r="H682" t="s">
        <v>53</v>
      </c>
      <c r="I682" t="s">
        <v>78</v>
      </c>
      <c r="J682" t="s">
        <v>367</v>
      </c>
      <c r="K682" t="s">
        <v>33</v>
      </c>
      <c r="L682" t="s">
        <v>73</v>
      </c>
      <c r="M682" t="s">
        <v>74</v>
      </c>
      <c r="N682" t="s">
        <v>44</v>
      </c>
      <c r="O682" s="3">
        <v>676.76</v>
      </c>
      <c r="P682">
        <v>2</v>
      </c>
      <c r="Q682" s="4">
        <v>0.15</v>
      </c>
      <c r="R682" s="3">
        <v>1150.492</v>
      </c>
      <c r="S682" s="3">
        <v>427.07</v>
      </c>
      <c r="T682" s="3">
        <v>854.14</v>
      </c>
      <c r="U682" s="3">
        <v>296.35199999999998</v>
      </c>
      <c r="V682" s="5">
        <v>0.25758718878531967</v>
      </c>
      <c r="W682">
        <v>8</v>
      </c>
      <c r="X682" t="s">
        <v>58</v>
      </c>
      <c r="Y682" s="6">
        <v>2</v>
      </c>
    </row>
    <row r="683" spans="1:25">
      <c r="A683" t="s">
        <v>1062</v>
      </c>
      <c r="B683" s="2">
        <v>45744</v>
      </c>
      <c r="C683">
        <v>2025</v>
      </c>
      <c r="D683" t="s">
        <v>26</v>
      </c>
      <c r="E683" t="s">
        <v>163</v>
      </c>
      <c r="F683" t="s">
        <v>51</v>
      </c>
      <c r="G683" t="s">
        <v>97</v>
      </c>
      <c r="H683" t="s">
        <v>98</v>
      </c>
      <c r="I683" t="s">
        <v>78</v>
      </c>
      <c r="J683" t="s">
        <v>1063</v>
      </c>
      <c r="K683" t="s">
        <v>33</v>
      </c>
      <c r="L683" t="s">
        <v>88</v>
      </c>
      <c r="M683" t="s">
        <v>89</v>
      </c>
      <c r="N683" t="s">
        <v>57</v>
      </c>
      <c r="O683" s="3">
        <v>259.89999999999998</v>
      </c>
      <c r="P683">
        <v>2</v>
      </c>
      <c r="Q683" s="4">
        <v>0.05</v>
      </c>
      <c r="R683" s="3">
        <v>493.80999999999995</v>
      </c>
      <c r="S683" s="3">
        <v>127.34</v>
      </c>
      <c r="T683" s="3">
        <v>254.68</v>
      </c>
      <c r="U683" s="3">
        <v>239.12999999999994</v>
      </c>
      <c r="V683" s="5">
        <v>0.48425507786395572</v>
      </c>
      <c r="W683">
        <v>5</v>
      </c>
      <c r="X683" t="s">
        <v>37</v>
      </c>
      <c r="Y683" s="6">
        <v>4</v>
      </c>
    </row>
    <row r="684" spans="1:25">
      <c r="A684" t="s">
        <v>1064</v>
      </c>
      <c r="B684" s="2">
        <v>45745</v>
      </c>
      <c r="C684">
        <v>2025</v>
      </c>
      <c r="D684" t="s">
        <v>26</v>
      </c>
      <c r="E684" t="s">
        <v>163</v>
      </c>
      <c r="F684" t="s">
        <v>39</v>
      </c>
      <c r="G684" t="s">
        <v>40</v>
      </c>
      <c r="H684" t="s">
        <v>41</v>
      </c>
      <c r="I684" t="s">
        <v>31</v>
      </c>
      <c r="J684" t="s">
        <v>391</v>
      </c>
      <c r="K684" t="s">
        <v>61</v>
      </c>
      <c r="L684" t="s">
        <v>62</v>
      </c>
      <c r="M684" t="s">
        <v>195</v>
      </c>
      <c r="N684" t="s">
        <v>57</v>
      </c>
      <c r="O684" s="3">
        <v>74.790000000000006</v>
      </c>
      <c r="P684">
        <v>5</v>
      </c>
      <c r="Q684" s="4">
        <v>0</v>
      </c>
      <c r="R684" s="3">
        <v>373.95000000000005</v>
      </c>
      <c r="S684" s="3">
        <v>32.950000000000003</v>
      </c>
      <c r="T684" s="3">
        <v>164.75</v>
      </c>
      <c r="U684" s="3">
        <v>209.20000000000005</v>
      </c>
      <c r="V684" s="5">
        <v>0.55943307928867503</v>
      </c>
      <c r="W684">
        <v>6</v>
      </c>
      <c r="X684" t="s">
        <v>37</v>
      </c>
      <c r="Y684" s="6">
        <v>5</v>
      </c>
    </row>
    <row r="685" spans="1:25">
      <c r="A685" t="s">
        <v>1065</v>
      </c>
      <c r="B685" s="2">
        <v>45745</v>
      </c>
      <c r="C685">
        <v>2025</v>
      </c>
      <c r="D685" t="s">
        <v>26</v>
      </c>
      <c r="E685" t="s">
        <v>163</v>
      </c>
      <c r="F685" t="s">
        <v>65</v>
      </c>
      <c r="G685" t="s">
        <v>76</v>
      </c>
      <c r="H685" t="s">
        <v>77</v>
      </c>
      <c r="I685" t="s">
        <v>78</v>
      </c>
      <c r="J685" t="s">
        <v>1052</v>
      </c>
      <c r="K685" t="s">
        <v>61</v>
      </c>
      <c r="L685" t="s">
        <v>84</v>
      </c>
      <c r="M685" t="s">
        <v>135</v>
      </c>
      <c r="N685" t="s">
        <v>44</v>
      </c>
      <c r="O685" s="3">
        <v>897.22</v>
      </c>
      <c r="P685">
        <v>2</v>
      </c>
      <c r="Q685" s="4">
        <v>0.1</v>
      </c>
      <c r="R685" s="3">
        <v>1614.9960000000001</v>
      </c>
      <c r="S685" s="3">
        <v>557.98</v>
      </c>
      <c r="T685" s="3">
        <v>1115.96</v>
      </c>
      <c r="U685" s="3">
        <v>499.03600000000006</v>
      </c>
      <c r="V685" s="5">
        <v>0.30900138452355302</v>
      </c>
      <c r="W685">
        <v>6</v>
      </c>
      <c r="X685" t="s">
        <v>37</v>
      </c>
      <c r="Y685" s="6">
        <v>4</v>
      </c>
    </row>
    <row r="686" spans="1:25">
      <c r="A686" t="s">
        <v>1066</v>
      </c>
      <c r="B686" s="2">
        <v>45746</v>
      </c>
      <c r="C686">
        <v>2025</v>
      </c>
      <c r="D686" t="s">
        <v>26</v>
      </c>
      <c r="E686" t="s">
        <v>163</v>
      </c>
      <c r="F686" t="s">
        <v>28</v>
      </c>
      <c r="G686" t="s">
        <v>29</v>
      </c>
      <c r="H686" t="s">
        <v>106</v>
      </c>
      <c r="I686" t="s">
        <v>71</v>
      </c>
      <c r="J686" t="s">
        <v>676</v>
      </c>
      <c r="K686" t="s">
        <v>33</v>
      </c>
      <c r="L686" t="s">
        <v>34</v>
      </c>
      <c r="M686" t="s">
        <v>150</v>
      </c>
      <c r="N686" t="s">
        <v>36</v>
      </c>
      <c r="O686" s="3">
        <v>436.35</v>
      </c>
      <c r="P686">
        <v>1</v>
      </c>
      <c r="Q686" s="4">
        <v>0</v>
      </c>
      <c r="R686" s="3">
        <v>436.35</v>
      </c>
      <c r="S686" s="3">
        <v>250.15</v>
      </c>
      <c r="T686" s="3">
        <v>250.15</v>
      </c>
      <c r="U686" s="3">
        <v>186.20000000000002</v>
      </c>
      <c r="V686" s="5">
        <v>0.42672166838547038</v>
      </c>
      <c r="W686">
        <v>6</v>
      </c>
      <c r="X686" t="s">
        <v>37</v>
      </c>
      <c r="Y686" s="6">
        <v>4</v>
      </c>
    </row>
    <row r="687" spans="1:25">
      <c r="A687" t="s">
        <v>1067</v>
      </c>
      <c r="B687" s="2">
        <v>45746</v>
      </c>
      <c r="C687">
        <v>2025</v>
      </c>
      <c r="D687" t="s">
        <v>26</v>
      </c>
      <c r="E687" t="s">
        <v>163</v>
      </c>
      <c r="F687" t="s">
        <v>28</v>
      </c>
      <c r="G687" t="s">
        <v>29</v>
      </c>
      <c r="H687" t="s">
        <v>30</v>
      </c>
      <c r="I687" t="s">
        <v>42</v>
      </c>
      <c r="J687" t="s">
        <v>1011</v>
      </c>
      <c r="K687" t="s">
        <v>47</v>
      </c>
      <c r="L687" t="s">
        <v>55</v>
      </c>
      <c r="M687" t="s">
        <v>69</v>
      </c>
      <c r="N687" t="s">
        <v>36</v>
      </c>
      <c r="O687" s="3">
        <v>42.31</v>
      </c>
      <c r="P687">
        <v>12</v>
      </c>
      <c r="Q687" s="4">
        <v>0.1</v>
      </c>
      <c r="R687" s="3">
        <v>456.94800000000004</v>
      </c>
      <c r="S687" s="3">
        <v>21.93</v>
      </c>
      <c r="T687" s="3">
        <v>263.15999999999997</v>
      </c>
      <c r="U687" s="3">
        <v>193.78800000000007</v>
      </c>
      <c r="V687" s="5">
        <v>0.42409201922319401</v>
      </c>
      <c r="W687">
        <v>1</v>
      </c>
      <c r="X687" t="s">
        <v>58</v>
      </c>
      <c r="Y687" s="6">
        <v>4</v>
      </c>
    </row>
    <row r="688" spans="1:25">
      <c r="A688" t="s">
        <v>1068</v>
      </c>
      <c r="B688" s="2">
        <v>45747</v>
      </c>
      <c r="C688">
        <v>2025</v>
      </c>
      <c r="D688" t="s">
        <v>26</v>
      </c>
      <c r="E688" t="s">
        <v>163</v>
      </c>
      <c r="F688" t="s">
        <v>51</v>
      </c>
      <c r="G688" t="s">
        <v>97</v>
      </c>
      <c r="H688" t="s">
        <v>98</v>
      </c>
      <c r="I688" t="s">
        <v>78</v>
      </c>
      <c r="J688" t="s">
        <v>645</v>
      </c>
      <c r="K688" t="s">
        <v>61</v>
      </c>
      <c r="L688" t="s">
        <v>80</v>
      </c>
      <c r="M688" t="s">
        <v>81</v>
      </c>
      <c r="N688" t="s">
        <v>36</v>
      </c>
      <c r="O688" s="3">
        <v>981.31</v>
      </c>
      <c r="P688">
        <v>1</v>
      </c>
      <c r="Q688" s="4">
        <v>0.15</v>
      </c>
      <c r="R688" s="3">
        <v>834.11349999999993</v>
      </c>
      <c r="S688" s="3">
        <v>666.27</v>
      </c>
      <c r="T688" s="3">
        <v>666.27</v>
      </c>
      <c r="U688" s="3">
        <v>167.84349999999995</v>
      </c>
      <c r="V688" s="5">
        <v>0.20122381426508498</v>
      </c>
      <c r="W688">
        <v>4</v>
      </c>
      <c r="X688" t="s">
        <v>37</v>
      </c>
      <c r="Y688" s="6">
        <v>5</v>
      </c>
    </row>
    <row r="689" spans="1:25">
      <c r="A689" t="s">
        <v>1069</v>
      </c>
      <c r="B689" s="2">
        <v>45747</v>
      </c>
      <c r="C689">
        <v>2025</v>
      </c>
      <c r="D689" t="s">
        <v>26</v>
      </c>
      <c r="E689" t="s">
        <v>163</v>
      </c>
      <c r="F689" t="s">
        <v>51</v>
      </c>
      <c r="G689" t="s">
        <v>52</v>
      </c>
      <c r="H689" t="s">
        <v>102</v>
      </c>
      <c r="I689" t="s">
        <v>71</v>
      </c>
      <c r="J689" t="s">
        <v>724</v>
      </c>
      <c r="K689" t="s">
        <v>61</v>
      </c>
      <c r="L689" t="s">
        <v>62</v>
      </c>
      <c r="M689" t="s">
        <v>63</v>
      </c>
      <c r="N689" t="s">
        <v>36</v>
      </c>
      <c r="O689" s="3">
        <v>88.12</v>
      </c>
      <c r="P689">
        <v>5</v>
      </c>
      <c r="Q689" s="4">
        <v>0.15</v>
      </c>
      <c r="R689" s="3">
        <v>374.51</v>
      </c>
      <c r="S689" s="3">
        <v>45.16</v>
      </c>
      <c r="T689" s="3">
        <v>225.79999999999998</v>
      </c>
      <c r="U689" s="3">
        <v>148.71</v>
      </c>
      <c r="V689" s="5">
        <v>0.39707884969693735</v>
      </c>
      <c r="W689">
        <v>6</v>
      </c>
      <c r="X689" t="s">
        <v>37</v>
      </c>
      <c r="Y689" s="6">
        <v>4</v>
      </c>
    </row>
    <row r="690" spans="1:25">
      <c r="A690" t="s">
        <v>1070</v>
      </c>
      <c r="B690" s="2">
        <v>45747</v>
      </c>
      <c r="C690">
        <v>2025</v>
      </c>
      <c r="D690" t="s">
        <v>26</v>
      </c>
      <c r="E690" t="s">
        <v>163</v>
      </c>
      <c r="F690" t="s">
        <v>28</v>
      </c>
      <c r="G690" t="s">
        <v>29</v>
      </c>
      <c r="H690" t="s">
        <v>30</v>
      </c>
      <c r="I690" t="s">
        <v>42</v>
      </c>
      <c r="J690" t="s">
        <v>330</v>
      </c>
      <c r="K690" t="s">
        <v>61</v>
      </c>
      <c r="L690" t="s">
        <v>84</v>
      </c>
      <c r="M690" t="s">
        <v>85</v>
      </c>
      <c r="N690" t="s">
        <v>36</v>
      </c>
      <c r="O690" s="3">
        <v>156.41999999999999</v>
      </c>
      <c r="P690">
        <v>1</v>
      </c>
      <c r="Q690" s="4">
        <v>0.2</v>
      </c>
      <c r="R690" s="3">
        <v>125.136</v>
      </c>
      <c r="S690" s="3">
        <v>74.13</v>
      </c>
      <c r="T690" s="3">
        <v>74.13</v>
      </c>
      <c r="U690" s="3">
        <v>51.006</v>
      </c>
      <c r="V690" s="5">
        <v>0.40760452627541238</v>
      </c>
      <c r="W690">
        <v>7</v>
      </c>
      <c r="X690" t="s">
        <v>37</v>
      </c>
      <c r="Y690" s="6">
        <v>4</v>
      </c>
    </row>
    <row r="691" spans="1:25">
      <c r="A691" t="s">
        <v>1071</v>
      </c>
      <c r="B691" s="2">
        <v>45750</v>
      </c>
      <c r="C691">
        <v>2025</v>
      </c>
      <c r="D691" t="s">
        <v>229</v>
      </c>
      <c r="E691" t="s">
        <v>230</v>
      </c>
      <c r="F691" t="s">
        <v>39</v>
      </c>
      <c r="G691" t="s">
        <v>91</v>
      </c>
      <c r="H691" t="s">
        <v>92</v>
      </c>
      <c r="I691" t="s">
        <v>78</v>
      </c>
      <c r="J691" t="s">
        <v>1072</v>
      </c>
      <c r="K691" t="s">
        <v>47</v>
      </c>
      <c r="L691" t="s">
        <v>48</v>
      </c>
      <c r="M691" t="s">
        <v>104</v>
      </c>
      <c r="N691" t="s">
        <v>44</v>
      </c>
      <c r="O691" s="3">
        <v>54.74</v>
      </c>
      <c r="P691">
        <v>10</v>
      </c>
      <c r="Q691" s="4">
        <v>0.15</v>
      </c>
      <c r="R691" s="3">
        <v>465.28999999999996</v>
      </c>
      <c r="S691" s="3">
        <v>30.75</v>
      </c>
      <c r="T691" s="3">
        <v>307.5</v>
      </c>
      <c r="U691" s="3">
        <v>157.78999999999996</v>
      </c>
      <c r="V691" s="5">
        <v>0.33912183799350937</v>
      </c>
      <c r="W691">
        <v>6</v>
      </c>
      <c r="X691" t="s">
        <v>37</v>
      </c>
      <c r="Y691" s="6">
        <v>4</v>
      </c>
    </row>
    <row r="692" spans="1:25">
      <c r="A692" t="s">
        <v>1073</v>
      </c>
      <c r="B692" s="2">
        <v>45750</v>
      </c>
      <c r="C692">
        <v>2025</v>
      </c>
      <c r="D692" t="s">
        <v>229</v>
      </c>
      <c r="E692" t="s">
        <v>230</v>
      </c>
      <c r="F692" t="s">
        <v>65</v>
      </c>
      <c r="G692" t="s">
        <v>76</v>
      </c>
      <c r="H692" t="s">
        <v>126</v>
      </c>
      <c r="I692" t="s">
        <v>71</v>
      </c>
      <c r="J692" t="s">
        <v>1074</v>
      </c>
      <c r="K692" t="s">
        <v>61</v>
      </c>
      <c r="L692" t="s">
        <v>80</v>
      </c>
      <c r="M692" t="s">
        <v>81</v>
      </c>
      <c r="N692" t="s">
        <v>44</v>
      </c>
      <c r="O692" s="3">
        <v>963.72</v>
      </c>
      <c r="P692">
        <v>3</v>
      </c>
      <c r="Q692" s="4">
        <v>0</v>
      </c>
      <c r="R692" s="3">
        <v>2891.16</v>
      </c>
      <c r="S692" s="3">
        <v>675.34</v>
      </c>
      <c r="T692" s="3">
        <v>2026.02</v>
      </c>
      <c r="U692" s="3">
        <v>865.13999999999987</v>
      </c>
      <c r="V692" s="5">
        <v>0.29923629269912422</v>
      </c>
      <c r="W692">
        <v>4</v>
      </c>
      <c r="X692" t="s">
        <v>37</v>
      </c>
      <c r="Y692" s="6">
        <v>4</v>
      </c>
    </row>
    <row r="693" spans="1:25">
      <c r="A693" t="s">
        <v>1075</v>
      </c>
      <c r="B693" s="2">
        <v>45750</v>
      </c>
      <c r="C693">
        <v>2025</v>
      </c>
      <c r="D693" t="s">
        <v>229</v>
      </c>
      <c r="E693" t="s">
        <v>230</v>
      </c>
      <c r="F693" t="s">
        <v>65</v>
      </c>
      <c r="G693" t="s">
        <v>76</v>
      </c>
      <c r="H693" t="s">
        <v>126</v>
      </c>
      <c r="I693" t="s">
        <v>78</v>
      </c>
      <c r="J693" t="s">
        <v>628</v>
      </c>
      <c r="K693" t="s">
        <v>61</v>
      </c>
      <c r="L693" t="s">
        <v>84</v>
      </c>
      <c r="M693" t="s">
        <v>135</v>
      </c>
      <c r="N693" t="s">
        <v>57</v>
      </c>
      <c r="O693" s="3">
        <v>900.86</v>
      </c>
      <c r="P693">
        <v>1</v>
      </c>
      <c r="Q693" s="4">
        <v>0</v>
      </c>
      <c r="R693" s="3">
        <v>900.86</v>
      </c>
      <c r="S693" s="3">
        <v>573.12</v>
      </c>
      <c r="T693" s="3">
        <v>573.12</v>
      </c>
      <c r="U693" s="3">
        <v>327.74</v>
      </c>
      <c r="V693" s="5">
        <v>0.36380791687942632</v>
      </c>
      <c r="W693">
        <v>7</v>
      </c>
      <c r="X693" t="s">
        <v>37</v>
      </c>
      <c r="Y693" s="6">
        <v>4</v>
      </c>
    </row>
    <row r="694" spans="1:25">
      <c r="A694" t="s">
        <v>1076</v>
      </c>
      <c r="B694" s="2">
        <v>45753</v>
      </c>
      <c r="C694">
        <v>2025</v>
      </c>
      <c r="D694" t="s">
        <v>229</v>
      </c>
      <c r="E694" t="s">
        <v>230</v>
      </c>
      <c r="F694" t="s">
        <v>51</v>
      </c>
      <c r="G694" t="s">
        <v>52</v>
      </c>
      <c r="H694" t="s">
        <v>102</v>
      </c>
      <c r="I694" t="s">
        <v>78</v>
      </c>
      <c r="J694" t="s">
        <v>169</v>
      </c>
      <c r="K694" t="s">
        <v>33</v>
      </c>
      <c r="L694" t="s">
        <v>34</v>
      </c>
      <c r="M694" t="s">
        <v>35</v>
      </c>
      <c r="N694" t="s">
        <v>44</v>
      </c>
      <c r="O694" s="3">
        <v>187.14</v>
      </c>
      <c r="P694">
        <v>4</v>
      </c>
      <c r="Q694" s="4">
        <v>0.2</v>
      </c>
      <c r="R694" s="3">
        <v>598.84799999999996</v>
      </c>
      <c r="S694" s="3">
        <v>94.19</v>
      </c>
      <c r="T694" s="3">
        <v>376.76</v>
      </c>
      <c r="U694" s="3">
        <v>222.08799999999997</v>
      </c>
      <c r="V694" s="5">
        <v>0.37085871540023507</v>
      </c>
      <c r="W694">
        <v>3</v>
      </c>
      <c r="X694" t="s">
        <v>37</v>
      </c>
      <c r="Y694" s="6">
        <v>4</v>
      </c>
    </row>
    <row r="695" spans="1:25">
      <c r="A695" t="s">
        <v>1077</v>
      </c>
      <c r="B695" s="2">
        <v>45753</v>
      </c>
      <c r="C695">
        <v>2025</v>
      </c>
      <c r="D695" t="s">
        <v>229</v>
      </c>
      <c r="E695" t="s">
        <v>230</v>
      </c>
      <c r="F695" t="s">
        <v>65</v>
      </c>
      <c r="G695" t="s">
        <v>76</v>
      </c>
      <c r="H695" t="s">
        <v>126</v>
      </c>
      <c r="I695" t="s">
        <v>31</v>
      </c>
      <c r="J695" t="s">
        <v>1078</v>
      </c>
      <c r="K695" t="s">
        <v>33</v>
      </c>
      <c r="L695" t="s">
        <v>73</v>
      </c>
      <c r="M695" t="s">
        <v>138</v>
      </c>
      <c r="N695" t="s">
        <v>44</v>
      </c>
      <c r="O695" s="3">
        <v>325.13</v>
      </c>
      <c r="P695">
        <v>4</v>
      </c>
      <c r="Q695" s="4">
        <v>0</v>
      </c>
      <c r="R695" s="3">
        <v>1300.52</v>
      </c>
      <c r="S695" s="3">
        <v>173.34</v>
      </c>
      <c r="T695" s="3">
        <v>693.36</v>
      </c>
      <c r="U695" s="3">
        <v>607.16</v>
      </c>
      <c r="V695" s="5">
        <v>0.46685941008212101</v>
      </c>
      <c r="W695">
        <v>3</v>
      </c>
      <c r="X695" t="s">
        <v>37</v>
      </c>
      <c r="Y695" s="6">
        <v>4</v>
      </c>
    </row>
    <row r="696" spans="1:25">
      <c r="A696" t="s">
        <v>1079</v>
      </c>
      <c r="B696" s="2">
        <v>45756</v>
      </c>
      <c r="C696">
        <v>2025</v>
      </c>
      <c r="D696" t="s">
        <v>229</v>
      </c>
      <c r="E696" t="s">
        <v>230</v>
      </c>
      <c r="F696" t="s">
        <v>28</v>
      </c>
      <c r="G696" t="s">
        <v>29</v>
      </c>
      <c r="H696" t="s">
        <v>30</v>
      </c>
      <c r="I696" t="s">
        <v>78</v>
      </c>
      <c r="J696" t="s">
        <v>1080</v>
      </c>
      <c r="K696" t="s">
        <v>61</v>
      </c>
      <c r="L696" t="s">
        <v>80</v>
      </c>
      <c r="M696" t="s">
        <v>81</v>
      </c>
      <c r="N696" t="s">
        <v>44</v>
      </c>
      <c r="O696" s="3">
        <v>972.16</v>
      </c>
      <c r="P696">
        <v>3</v>
      </c>
      <c r="Q696" s="4">
        <v>0.2</v>
      </c>
      <c r="R696" s="3">
        <v>2333.1840000000002</v>
      </c>
      <c r="S696" s="3">
        <v>674.17</v>
      </c>
      <c r="T696" s="3">
        <v>2022.5099999999998</v>
      </c>
      <c r="U696" s="3">
        <v>310.67400000000043</v>
      </c>
      <c r="V696" s="5">
        <v>0.13315452188940111</v>
      </c>
      <c r="W696">
        <v>5</v>
      </c>
      <c r="X696" t="s">
        <v>37</v>
      </c>
      <c r="Y696" s="6">
        <v>5</v>
      </c>
    </row>
    <row r="697" spans="1:25">
      <c r="A697" t="s">
        <v>1081</v>
      </c>
      <c r="B697" s="2">
        <v>45758</v>
      </c>
      <c r="C697">
        <v>2025</v>
      </c>
      <c r="D697" t="s">
        <v>229</v>
      </c>
      <c r="E697" t="s">
        <v>230</v>
      </c>
      <c r="F697" t="s">
        <v>28</v>
      </c>
      <c r="G697" t="s">
        <v>29</v>
      </c>
      <c r="H697" t="s">
        <v>60</v>
      </c>
      <c r="I697" t="s">
        <v>78</v>
      </c>
      <c r="J697" t="s">
        <v>158</v>
      </c>
      <c r="K697" t="s">
        <v>33</v>
      </c>
      <c r="L697" t="s">
        <v>88</v>
      </c>
      <c r="M697" t="s">
        <v>100</v>
      </c>
      <c r="N697" t="s">
        <v>57</v>
      </c>
      <c r="O697" s="3">
        <v>291.24</v>
      </c>
      <c r="P697">
        <v>3</v>
      </c>
      <c r="Q697" s="4">
        <v>0.2</v>
      </c>
      <c r="R697" s="3">
        <v>698.97600000000011</v>
      </c>
      <c r="S697" s="3">
        <v>157.02000000000001</v>
      </c>
      <c r="T697" s="3">
        <v>471.06000000000006</v>
      </c>
      <c r="U697" s="3">
        <v>227.91600000000005</v>
      </c>
      <c r="V697" s="5">
        <v>0.32607128141738773</v>
      </c>
      <c r="W697">
        <v>6</v>
      </c>
      <c r="X697" t="s">
        <v>37</v>
      </c>
      <c r="Y697" s="6">
        <v>4</v>
      </c>
    </row>
    <row r="698" spans="1:25">
      <c r="A698" t="s">
        <v>1082</v>
      </c>
      <c r="B698" s="2">
        <v>45758</v>
      </c>
      <c r="C698">
        <v>2025</v>
      </c>
      <c r="D698" t="s">
        <v>229</v>
      </c>
      <c r="E698" t="s">
        <v>230</v>
      </c>
      <c r="F698" t="s">
        <v>65</v>
      </c>
      <c r="G698" t="s">
        <v>76</v>
      </c>
      <c r="H698" t="s">
        <v>126</v>
      </c>
      <c r="I698" t="s">
        <v>31</v>
      </c>
      <c r="J698" t="s">
        <v>1083</v>
      </c>
      <c r="K698" t="s">
        <v>61</v>
      </c>
      <c r="L698" t="s">
        <v>62</v>
      </c>
      <c r="M698" t="s">
        <v>195</v>
      </c>
      <c r="N698" t="s">
        <v>36</v>
      </c>
      <c r="O698" s="3">
        <v>72.069999999999993</v>
      </c>
      <c r="P698">
        <v>1</v>
      </c>
      <c r="Q698" s="4">
        <v>0</v>
      </c>
      <c r="R698" s="3">
        <v>72.069999999999993</v>
      </c>
      <c r="S698" s="3">
        <v>32.06</v>
      </c>
      <c r="T698" s="3">
        <v>32.06</v>
      </c>
      <c r="U698" s="3">
        <v>40.009999999999991</v>
      </c>
      <c r="V698" s="5">
        <v>0.55515471069793254</v>
      </c>
      <c r="W698">
        <v>6</v>
      </c>
      <c r="X698" t="s">
        <v>37</v>
      </c>
      <c r="Y698" s="6">
        <v>5</v>
      </c>
    </row>
    <row r="699" spans="1:25">
      <c r="A699" t="s">
        <v>1084</v>
      </c>
      <c r="B699" s="2">
        <v>45759</v>
      </c>
      <c r="C699">
        <v>2025</v>
      </c>
      <c r="D699" t="s">
        <v>229</v>
      </c>
      <c r="E699" t="s">
        <v>230</v>
      </c>
      <c r="F699" t="s">
        <v>28</v>
      </c>
      <c r="G699" t="s">
        <v>29</v>
      </c>
      <c r="H699" t="s">
        <v>30</v>
      </c>
      <c r="I699" t="s">
        <v>78</v>
      </c>
      <c r="J699" t="s">
        <v>355</v>
      </c>
      <c r="K699" t="s">
        <v>61</v>
      </c>
      <c r="L699" t="s">
        <v>84</v>
      </c>
      <c r="M699" t="s">
        <v>85</v>
      </c>
      <c r="N699" t="s">
        <v>57</v>
      </c>
      <c r="O699" s="3">
        <v>144.31</v>
      </c>
      <c r="P699">
        <v>4</v>
      </c>
      <c r="Q699" s="4">
        <v>0.1</v>
      </c>
      <c r="R699" s="3">
        <v>519.51600000000008</v>
      </c>
      <c r="S699" s="3">
        <v>72.930000000000007</v>
      </c>
      <c r="T699" s="3">
        <v>291.72000000000003</v>
      </c>
      <c r="U699" s="3">
        <v>227.79600000000005</v>
      </c>
      <c r="V699" s="5">
        <v>0.43847735199685867</v>
      </c>
      <c r="W699">
        <v>2</v>
      </c>
      <c r="X699" t="s">
        <v>37</v>
      </c>
      <c r="Y699" s="6">
        <v>5</v>
      </c>
    </row>
    <row r="700" spans="1:25">
      <c r="A700" t="s">
        <v>1085</v>
      </c>
      <c r="B700" s="2">
        <v>45760</v>
      </c>
      <c r="C700">
        <v>2025</v>
      </c>
      <c r="D700" t="s">
        <v>229</v>
      </c>
      <c r="E700" t="s">
        <v>230</v>
      </c>
      <c r="F700" t="s">
        <v>51</v>
      </c>
      <c r="G700" t="s">
        <v>97</v>
      </c>
      <c r="H700" t="s">
        <v>98</v>
      </c>
      <c r="I700" t="s">
        <v>42</v>
      </c>
      <c r="J700" t="s">
        <v>140</v>
      </c>
      <c r="K700" t="s">
        <v>61</v>
      </c>
      <c r="L700" t="s">
        <v>84</v>
      </c>
      <c r="M700" t="s">
        <v>85</v>
      </c>
      <c r="N700" t="s">
        <v>44</v>
      </c>
      <c r="O700" s="3">
        <v>153.36000000000001</v>
      </c>
      <c r="P700">
        <v>3</v>
      </c>
      <c r="Q700" s="4">
        <v>0.05</v>
      </c>
      <c r="R700" s="3">
        <v>437.07600000000002</v>
      </c>
      <c r="S700" s="3">
        <v>73.3</v>
      </c>
      <c r="T700" s="3">
        <v>219.89999999999998</v>
      </c>
      <c r="U700" s="3">
        <v>217.17600000000004</v>
      </c>
      <c r="V700" s="5">
        <v>0.49688383713587575</v>
      </c>
      <c r="W700">
        <v>2</v>
      </c>
      <c r="X700" t="s">
        <v>58</v>
      </c>
      <c r="Y700" s="6">
        <v>4</v>
      </c>
    </row>
    <row r="701" spans="1:25">
      <c r="A701" t="s">
        <v>1086</v>
      </c>
      <c r="B701" s="2">
        <v>45760</v>
      </c>
      <c r="C701">
        <v>2025</v>
      </c>
      <c r="D701" t="s">
        <v>229</v>
      </c>
      <c r="E701" t="s">
        <v>230</v>
      </c>
      <c r="F701" t="s">
        <v>39</v>
      </c>
      <c r="G701" t="s">
        <v>111</v>
      </c>
      <c r="H701" t="s">
        <v>112</v>
      </c>
      <c r="I701" t="s">
        <v>78</v>
      </c>
      <c r="J701" t="s">
        <v>426</v>
      </c>
      <c r="K701" t="s">
        <v>47</v>
      </c>
      <c r="L701" t="s">
        <v>55</v>
      </c>
      <c r="M701" t="s">
        <v>56</v>
      </c>
      <c r="N701" t="s">
        <v>36</v>
      </c>
      <c r="O701" s="3">
        <v>40.770000000000003</v>
      </c>
      <c r="P701">
        <v>1</v>
      </c>
      <c r="Q701" s="4">
        <v>0.15</v>
      </c>
      <c r="R701" s="3">
        <v>34.654499999999999</v>
      </c>
      <c r="S701" s="3">
        <v>16.72</v>
      </c>
      <c r="T701" s="3">
        <v>16.72</v>
      </c>
      <c r="U701" s="3">
        <v>17.9345</v>
      </c>
      <c r="V701" s="5">
        <v>0.51752297681397796</v>
      </c>
      <c r="W701">
        <v>1</v>
      </c>
      <c r="X701" t="s">
        <v>58</v>
      </c>
      <c r="Y701" s="6">
        <v>4</v>
      </c>
    </row>
    <row r="702" spans="1:25">
      <c r="A702" t="s">
        <v>1087</v>
      </c>
      <c r="B702" s="2">
        <v>45762</v>
      </c>
      <c r="C702">
        <v>2025</v>
      </c>
      <c r="D702" t="s">
        <v>229</v>
      </c>
      <c r="E702" t="s">
        <v>230</v>
      </c>
      <c r="F702" t="s">
        <v>65</v>
      </c>
      <c r="G702" t="s">
        <v>76</v>
      </c>
      <c r="H702" t="s">
        <v>126</v>
      </c>
      <c r="I702" t="s">
        <v>78</v>
      </c>
      <c r="J702" t="s">
        <v>109</v>
      </c>
      <c r="K702" t="s">
        <v>61</v>
      </c>
      <c r="L702" t="s">
        <v>84</v>
      </c>
      <c r="M702" t="s">
        <v>85</v>
      </c>
      <c r="N702" t="s">
        <v>44</v>
      </c>
      <c r="O702" s="3">
        <v>152.41999999999999</v>
      </c>
      <c r="P702">
        <v>1</v>
      </c>
      <c r="Q702" s="4">
        <v>0</v>
      </c>
      <c r="R702" s="3">
        <v>152.41999999999999</v>
      </c>
      <c r="S702" s="3">
        <v>73</v>
      </c>
      <c r="T702" s="3">
        <v>73</v>
      </c>
      <c r="U702" s="3">
        <v>79.419999999999987</v>
      </c>
      <c r="V702" s="5">
        <v>0.5210602283164939</v>
      </c>
      <c r="W702">
        <v>5</v>
      </c>
      <c r="X702" t="s">
        <v>37</v>
      </c>
      <c r="Y702" s="6">
        <v>5</v>
      </c>
    </row>
    <row r="703" spans="1:25">
      <c r="A703" t="s">
        <v>1088</v>
      </c>
      <c r="B703" s="2">
        <v>45763</v>
      </c>
      <c r="C703">
        <v>2025</v>
      </c>
      <c r="D703" t="s">
        <v>229</v>
      </c>
      <c r="E703" t="s">
        <v>230</v>
      </c>
      <c r="F703" t="s">
        <v>28</v>
      </c>
      <c r="G703" t="s">
        <v>29</v>
      </c>
      <c r="H703" t="s">
        <v>30</v>
      </c>
      <c r="I703" t="s">
        <v>71</v>
      </c>
      <c r="J703" t="s">
        <v>690</v>
      </c>
      <c r="K703" t="s">
        <v>61</v>
      </c>
      <c r="L703" t="s">
        <v>84</v>
      </c>
      <c r="M703" t="s">
        <v>85</v>
      </c>
      <c r="N703" t="s">
        <v>57</v>
      </c>
      <c r="O703" s="3">
        <v>142.03</v>
      </c>
      <c r="P703">
        <v>1</v>
      </c>
      <c r="Q703" s="4">
        <v>0.1</v>
      </c>
      <c r="R703" s="3">
        <v>127.827</v>
      </c>
      <c r="S703" s="3">
        <v>72.12</v>
      </c>
      <c r="T703" s="3">
        <v>72.12</v>
      </c>
      <c r="U703" s="3">
        <v>55.706999999999994</v>
      </c>
      <c r="V703" s="5">
        <v>0.43579994836771568</v>
      </c>
      <c r="W703">
        <v>5</v>
      </c>
      <c r="X703" t="s">
        <v>37</v>
      </c>
      <c r="Y703" s="6">
        <v>4</v>
      </c>
    </row>
    <row r="704" spans="1:25">
      <c r="A704" t="s">
        <v>1089</v>
      </c>
      <c r="B704" s="2">
        <v>45763</v>
      </c>
      <c r="C704">
        <v>2025</v>
      </c>
      <c r="D704" t="s">
        <v>229</v>
      </c>
      <c r="E704" t="s">
        <v>230</v>
      </c>
      <c r="F704" t="s">
        <v>51</v>
      </c>
      <c r="G704" t="s">
        <v>52</v>
      </c>
      <c r="H704" t="s">
        <v>102</v>
      </c>
      <c r="I704" t="s">
        <v>71</v>
      </c>
      <c r="J704" t="s">
        <v>872</v>
      </c>
      <c r="K704" t="s">
        <v>33</v>
      </c>
      <c r="L704" t="s">
        <v>34</v>
      </c>
      <c r="M704" t="s">
        <v>35</v>
      </c>
      <c r="N704" t="s">
        <v>36</v>
      </c>
      <c r="O704" s="3">
        <v>179.15</v>
      </c>
      <c r="P704">
        <v>3</v>
      </c>
      <c r="Q704" s="4">
        <v>0.1</v>
      </c>
      <c r="R704" s="3">
        <v>483.70500000000004</v>
      </c>
      <c r="S704" s="3">
        <v>91.02</v>
      </c>
      <c r="T704" s="3">
        <v>273.06</v>
      </c>
      <c r="U704" s="3">
        <v>210.64500000000004</v>
      </c>
      <c r="V704" s="5">
        <v>0.43548237045306543</v>
      </c>
      <c r="W704">
        <v>1</v>
      </c>
      <c r="X704" t="s">
        <v>37</v>
      </c>
      <c r="Y704" s="6">
        <v>5</v>
      </c>
    </row>
    <row r="705" spans="1:25">
      <c r="A705" t="s">
        <v>1090</v>
      </c>
      <c r="B705" s="2">
        <v>45766</v>
      </c>
      <c r="C705">
        <v>2025</v>
      </c>
      <c r="D705" t="s">
        <v>229</v>
      </c>
      <c r="E705" t="s">
        <v>230</v>
      </c>
      <c r="F705" t="s">
        <v>28</v>
      </c>
      <c r="G705" t="s">
        <v>29</v>
      </c>
      <c r="H705" t="s">
        <v>106</v>
      </c>
      <c r="I705" t="s">
        <v>31</v>
      </c>
      <c r="J705" t="s">
        <v>1091</v>
      </c>
      <c r="K705" t="s">
        <v>33</v>
      </c>
      <c r="L705" t="s">
        <v>73</v>
      </c>
      <c r="M705" t="s">
        <v>138</v>
      </c>
      <c r="N705" t="s">
        <v>57</v>
      </c>
      <c r="O705" s="3">
        <v>312.97000000000003</v>
      </c>
      <c r="P705">
        <v>5</v>
      </c>
      <c r="Q705" s="4">
        <v>0.15</v>
      </c>
      <c r="R705" s="3">
        <v>1330.1225000000002</v>
      </c>
      <c r="S705" s="3">
        <v>179.06</v>
      </c>
      <c r="T705" s="3">
        <v>895.3</v>
      </c>
      <c r="U705" s="3">
        <v>434.82250000000022</v>
      </c>
      <c r="V705" s="5">
        <v>0.3269041009380716</v>
      </c>
      <c r="W705">
        <v>3</v>
      </c>
      <c r="X705" t="s">
        <v>37</v>
      </c>
      <c r="Y705" s="6">
        <v>5</v>
      </c>
    </row>
    <row r="706" spans="1:25">
      <c r="A706" t="s">
        <v>1092</v>
      </c>
      <c r="B706" s="2">
        <v>45766</v>
      </c>
      <c r="C706">
        <v>2025</v>
      </c>
      <c r="D706" t="s">
        <v>229</v>
      </c>
      <c r="E706" t="s">
        <v>230</v>
      </c>
      <c r="F706" t="s">
        <v>51</v>
      </c>
      <c r="G706" t="s">
        <v>52</v>
      </c>
      <c r="H706" t="s">
        <v>53</v>
      </c>
      <c r="I706" t="s">
        <v>42</v>
      </c>
      <c r="J706" t="s">
        <v>493</v>
      </c>
      <c r="K706" t="s">
        <v>61</v>
      </c>
      <c r="L706" t="s">
        <v>62</v>
      </c>
      <c r="M706" t="s">
        <v>63</v>
      </c>
      <c r="N706" t="s">
        <v>44</v>
      </c>
      <c r="O706" s="3">
        <v>93.2</v>
      </c>
      <c r="P706">
        <v>3</v>
      </c>
      <c r="Q706" s="4">
        <v>0.2</v>
      </c>
      <c r="R706" s="3">
        <v>223.68000000000004</v>
      </c>
      <c r="S706" s="3">
        <v>44.57</v>
      </c>
      <c r="T706" s="3">
        <v>133.71</v>
      </c>
      <c r="U706" s="3">
        <v>89.970000000000027</v>
      </c>
      <c r="V706" s="5">
        <v>0.40222639484978545</v>
      </c>
      <c r="W706">
        <v>9</v>
      </c>
      <c r="X706" t="s">
        <v>37</v>
      </c>
      <c r="Y706" s="6">
        <v>3</v>
      </c>
    </row>
    <row r="707" spans="1:25">
      <c r="A707" t="s">
        <v>1093</v>
      </c>
      <c r="B707" s="2">
        <v>45766</v>
      </c>
      <c r="C707">
        <v>2025</v>
      </c>
      <c r="D707" t="s">
        <v>229</v>
      </c>
      <c r="E707" t="s">
        <v>230</v>
      </c>
      <c r="F707" t="s">
        <v>51</v>
      </c>
      <c r="G707" t="s">
        <v>97</v>
      </c>
      <c r="H707" t="s">
        <v>98</v>
      </c>
      <c r="I707" t="s">
        <v>42</v>
      </c>
      <c r="J707" t="s">
        <v>424</v>
      </c>
      <c r="K707" t="s">
        <v>33</v>
      </c>
      <c r="L707" t="s">
        <v>73</v>
      </c>
      <c r="M707" t="s">
        <v>74</v>
      </c>
      <c r="N707" t="s">
        <v>57</v>
      </c>
      <c r="O707" s="3">
        <v>708.34</v>
      </c>
      <c r="P707">
        <v>3</v>
      </c>
      <c r="Q707" s="4">
        <v>0</v>
      </c>
      <c r="R707" s="3">
        <v>2125.02</v>
      </c>
      <c r="S707" s="3">
        <v>419.55</v>
      </c>
      <c r="T707" s="3">
        <v>1258.6500000000001</v>
      </c>
      <c r="U707" s="3">
        <v>866.36999999999989</v>
      </c>
      <c r="V707" s="5">
        <v>0.40769969223819064</v>
      </c>
      <c r="W707">
        <v>7</v>
      </c>
      <c r="X707" t="s">
        <v>37</v>
      </c>
      <c r="Y707" s="6">
        <v>4</v>
      </c>
    </row>
    <row r="708" spans="1:25">
      <c r="A708" t="s">
        <v>1094</v>
      </c>
      <c r="B708" s="2">
        <v>45770</v>
      </c>
      <c r="C708">
        <v>2025</v>
      </c>
      <c r="D708" t="s">
        <v>229</v>
      </c>
      <c r="E708" t="s">
        <v>230</v>
      </c>
      <c r="F708" t="s">
        <v>28</v>
      </c>
      <c r="G708" t="s">
        <v>29</v>
      </c>
      <c r="H708" t="s">
        <v>106</v>
      </c>
      <c r="I708" t="s">
        <v>78</v>
      </c>
      <c r="J708" t="s">
        <v>508</v>
      </c>
      <c r="K708" t="s">
        <v>33</v>
      </c>
      <c r="L708" t="s">
        <v>73</v>
      </c>
      <c r="M708" t="s">
        <v>74</v>
      </c>
      <c r="N708" t="s">
        <v>36</v>
      </c>
      <c r="O708" s="3">
        <v>675.66</v>
      </c>
      <c r="P708">
        <v>4</v>
      </c>
      <c r="Q708" s="4">
        <v>0</v>
      </c>
      <c r="R708" s="3">
        <v>2702.64</v>
      </c>
      <c r="S708" s="3">
        <v>415.54</v>
      </c>
      <c r="T708" s="3">
        <v>1662.16</v>
      </c>
      <c r="U708" s="3">
        <v>1040.4799999999998</v>
      </c>
      <c r="V708" s="5">
        <v>0.38498653168753511</v>
      </c>
      <c r="W708">
        <v>2</v>
      </c>
      <c r="X708" t="s">
        <v>37</v>
      </c>
      <c r="Y708" s="6">
        <v>5</v>
      </c>
    </row>
    <row r="709" spans="1:25">
      <c r="A709" t="s">
        <v>1095</v>
      </c>
      <c r="B709" s="2">
        <v>45775</v>
      </c>
      <c r="C709">
        <v>2025</v>
      </c>
      <c r="D709" t="s">
        <v>229</v>
      </c>
      <c r="E709" t="s">
        <v>230</v>
      </c>
      <c r="F709" t="s">
        <v>51</v>
      </c>
      <c r="G709" t="s">
        <v>52</v>
      </c>
      <c r="H709" t="s">
        <v>102</v>
      </c>
      <c r="I709" t="s">
        <v>42</v>
      </c>
      <c r="J709" t="s">
        <v>566</v>
      </c>
      <c r="K709" t="s">
        <v>47</v>
      </c>
      <c r="L709" t="s">
        <v>48</v>
      </c>
      <c r="M709" t="s">
        <v>104</v>
      </c>
      <c r="N709" t="s">
        <v>36</v>
      </c>
      <c r="O709" s="3">
        <v>52.21</v>
      </c>
      <c r="P709">
        <v>9</v>
      </c>
      <c r="Q709" s="4">
        <v>0.1</v>
      </c>
      <c r="R709" s="3">
        <v>422.90100000000001</v>
      </c>
      <c r="S709" s="3">
        <v>31.59</v>
      </c>
      <c r="T709" s="3">
        <v>284.31</v>
      </c>
      <c r="U709" s="3">
        <v>138.59100000000001</v>
      </c>
      <c r="V709" s="5">
        <v>0.32771499712698715</v>
      </c>
      <c r="W709">
        <v>2</v>
      </c>
      <c r="X709" t="s">
        <v>37</v>
      </c>
      <c r="Y709" s="6">
        <v>4</v>
      </c>
    </row>
    <row r="710" spans="1:25">
      <c r="A710" t="s">
        <v>1096</v>
      </c>
      <c r="B710" s="2">
        <v>45775</v>
      </c>
      <c r="C710">
        <v>2025</v>
      </c>
      <c r="D710" t="s">
        <v>229</v>
      </c>
      <c r="E710" t="s">
        <v>230</v>
      </c>
      <c r="F710" t="s">
        <v>39</v>
      </c>
      <c r="G710" t="s">
        <v>40</v>
      </c>
      <c r="H710" t="s">
        <v>41</v>
      </c>
      <c r="I710" t="s">
        <v>31</v>
      </c>
      <c r="J710" t="s">
        <v>379</v>
      </c>
      <c r="K710" t="s">
        <v>61</v>
      </c>
      <c r="L710" t="s">
        <v>80</v>
      </c>
      <c r="M710" t="s">
        <v>187</v>
      </c>
      <c r="N710" t="s">
        <v>36</v>
      </c>
      <c r="O710" s="3">
        <v>1344.91</v>
      </c>
      <c r="P710">
        <v>1</v>
      </c>
      <c r="Q710" s="4">
        <v>0</v>
      </c>
      <c r="R710" s="3">
        <v>1344.91</v>
      </c>
      <c r="S710" s="3">
        <v>828.85</v>
      </c>
      <c r="T710" s="3">
        <v>828.85</v>
      </c>
      <c r="U710" s="3">
        <v>516.06000000000006</v>
      </c>
      <c r="V710" s="5">
        <v>0.38371340833215606</v>
      </c>
      <c r="W710">
        <v>5</v>
      </c>
      <c r="X710" t="s">
        <v>37</v>
      </c>
      <c r="Y710" s="6">
        <v>5</v>
      </c>
    </row>
    <row r="711" spans="1:25">
      <c r="A711" t="s">
        <v>1097</v>
      </c>
      <c r="B711" s="2">
        <v>45776</v>
      </c>
      <c r="C711">
        <v>2025</v>
      </c>
      <c r="D711" t="s">
        <v>229</v>
      </c>
      <c r="E711" t="s">
        <v>230</v>
      </c>
      <c r="F711" t="s">
        <v>39</v>
      </c>
      <c r="G711" t="s">
        <v>91</v>
      </c>
      <c r="H711" t="s">
        <v>92</v>
      </c>
      <c r="I711" t="s">
        <v>78</v>
      </c>
      <c r="J711" t="s">
        <v>1023</v>
      </c>
      <c r="K711" t="s">
        <v>47</v>
      </c>
      <c r="L711" t="s">
        <v>55</v>
      </c>
      <c r="M711" t="s">
        <v>56</v>
      </c>
      <c r="N711" t="s">
        <v>57</v>
      </c>
      <c r="O711" s="3">
        <v>38.200000000000003</v>
      </c>
      <c r="P711">
        <v>2</v>
      </c>
      <c r="Q711" s="4">
        <v>0.15</v>
      </c>
      <c r="R711" s="3">
        <v>64.94</v>
      </c>
      <c r="S711" s="3">
        <v>16.86</v>
      </c>
      <c r="T711" s="3">
        <v>33.72</v>
      </c>
      <c r="U711" s="3">
        <v>31.22</v>
      </c>
      <c r="V711" s="5">
        <v>0.48075146288882042</v>
      </c>
      <c r="W711">
        <v>3</v>
      </c>
      <c r="X711" t="s">
        <v>37</v>
      </c>
      <c r="Y711" s="6">
        <v>5</v>
      </c>
    </row>
    <row r="712" spans="1:25">
      <c r="A712" t="s">
        <v>1098</v>
      </c>
      <c r="B712" s="2">
        <v>45780</v>
      </c>
      <c r="C712">
        <v>2025</v>
      </c>
      <c r="D712" t="s">
        <v>229</v>
      </c>
      <c r="E712" t="s">
        <v>278</v>
      </c>
      <c r="F712" t="s">
        <v>39</v>
      </c>
      <c r="G712" t="s">
        <v>91</v>
      </c>
      <c r="H712" t="s">
        <v>92</v>
      </c>
      <c r="I712" t="s">
        <v>42</v>
      </c>
      <c r="J712" t="s">
        <v>317</v>
      </c>
      <c r="K712" t="s">
        <v>61</v>
      </c>
      <c r="L712" t="s">
        <v>80</v>
      </c>
      <c r="M712" t="s">
        <v>81</v>
      </c>
      <c r="N712" t="s">
        <v>57</v>
      </c>
      <c r="O712" s="3">
        <v>974.2</v>
      </c>
      <c r="P712">
        <v>4</v>
      </c>
      <c r="Q712" s="4">
        <v>0.2</v>
      </c>
      <c r="R712" s="3">
        <v>3117.4400000000005</v>
      </c>
      <c r="S712" s="3">
        <v>646.49</v>
      </c>
      <c r="T712" s="3">
        <v>2585.96</v>
      </c>
      <c r="U712" s="3">
        <v>531.48000000000047</v>
      </c>
      <c r="V712" s="5">
        <v>0.17048603982755092</v>
      </c>
      <c r="W712">
        <v>5</v>
      </c>
      <c r="X712" t="s">
        <v>37</v>
      </c>
      <c r="Y712" s="6">
        <v>4</v>
      </c>
    </row>
    <row r="713" spans="1:25">
      <c r="A713" t="s">
        <v>1099</v>
      </c>
      <c r="B713" s="2">
        <v>45781</v>
      </c>
      <c r="C713">
        <v>2025</v>
      </c>
      <c r="D713" t="s">
        <v>229</v>
      </c>
      <c r="E713" t="s">
        <v>278</v>
      </c>
      <c r="F713" t="s">
        <v>28</v>
      </c>
      <c r="G713" t="s">
        <v>29</v>
      </c>
      <c r="H713" t="s">
        <v>60</v>
      </c>
      <c r="I713" t="s">
        <v>42</v>
      </c>
      <c r="J713" t="s">
        <v>486</v>
      </c>
      <c r="K713" t="s">
        <v>61</v>
      </c>
      <c r="L713" t="s">
        <v>84</v>
      </c>
      <c r="M713" t="s">
        <v>85</v>
      </c>
      <c r="N713" t="s">
        <v>57</v>
      </c>
      <c r="O713" s="3">
        <v>145.80000000000001</v>
      </c>
      <c r="P713">
        <v>5</v>
      </c>
      <c r="Q713" s="4">
        <v>0.05</v>
      </c>
      <c r="R713" s="3">
        <v>692.55</v>
      </c>
      <c r="S713" s="3">
        <v>71.56</v>
      </c>
      <c r="T713" s="3">
        <v>357.8</v>
      </c>
      <c r="U713" s="3">
        <v>334.74999999999994</v>
      </c>
      <c r="V713" s="5">
        <v>0.48335860226698429</v>
      </c>
      <c r="W713">
        <v>7</v>
      </c>
      <c r="X713" t="s">
        <v>37</v>
      </c>
      <c r="Y713" s="6">
        <v>4</v>
      </c>
    </row>
    <row r="714" spans="1:25">
      <c r="A714" t="s">
        <v>1100</v>
      </c>
      <c r="B714" s="2">
        <v>45784</v>
      </c>
      <c r="C714">
        <v>2025</v>
      </c>
      <c r="D714" t="s">
        <v>229</v>
      </c>
      <c r="E714" t="s">
        <v>278</v>
      </c>
      <c r="F714" t="s">
        <v>51</v>
      </c>
      <c r="G714" t="s">
        <v>52</v>
      </c>
      <c r="H714" t="s">
        <v>53</v>
      </c>
      <c r="I714" t="s">
        <v>31</v>
      </c>
      <c r="J714" t="s">
        <v>119</v>
      </c>
      <c r="K714" t="s">
        <v>33</v>
      </c>
      <c r="L714" t="s">
        <v>73</v>
      </c>
      <c r="M714" t="s">
        <v>74</v>
      </c>
      <c r="N714" t="s">
        <v>44</v>
      </c>
      <c r="O714" s="3">
        <v>669.18</v>
      </c>
      <c r="P714">
        <v>5</v>
      </c>
      <c r="Q714" s="4">
        <v>0.15</v>
      </c>
      <c r="R714" s="3">
        <v>2844.0149999999994</v>
      </c>
      <c r="S714" s="3">
        <v>410.65</v>
      </c>
      <c r="T714" s="3">
        <v>2053.25</v>
      </c>
      <c r="U714" s="3">
        <v>790.76499999999942</v>
      </c>
      <c r="V714" s="5">
        <v>0.27804529863590721</v>
      </c>
      <c r="W714">
        <v>5</v>
      </c>
      <c r="X714" t="s">
        <v>37</v>
      </c>
      <c r="Y714" s="6">
        <v>4</v>
      </c>
    </row>
    <row r="715" spans="1:25">
      <c r="A715" t="s">
        <v>1101</v>
      </c>
      <c r="B715" s="2">
        <v>45786</v>
      </c>
      <c r="C715">
        <v>2025</v>
      </c>
      <c r="D715" t="s">
        <v>229</v>
      </c>
      <c r="E715" t="s">
        <v>278</v>
      </c>
      <c r="F715" t="s">
        <v>39</v>
      </c>
      <c r="G715" t="s">
        <v>111</v>
      </c>
      <c r="H715" t="s">
        <v>112</v>
      </c>
      <c r="I715" t="s">
        <v>31</v>
      </c>
      <c r="J715" t="s">
        <v>531</v>
      </c>
      <c r="K715" t="s">
        <v>33</v>
      </c>
      <c r="L715" t="s">
        <v>34</v>
      </c>
      <c r="M715" t="s">
        <v>35</v>
      </c>
      <c r="N715" t="s">
        <v>36</v>
      </c>
      <c r="O715" s="3">
        <v>182.16</v>
      </c>
      <c r="P715">
        <v>1</v>
      </c>
      <c r="Q715" s="4">
        <v>0.1</v>
      </c>
      <c r="R715" s="3">
        <v>163.94399999999999</v>
      </c>
      <c r="S715" s="3">
        <v>89.54</v>
      </c>
      <c r="T715" s="3">
        <v>89.54</v>
      </c>
      <c r="U715" s="3">
        <v>74.403999999999982</v>
      </c>
      <c r="V715" s="5">
        <v>0.45383789586688128</v>
      </c>
      <c r="W715">
        <v>6</v>
      </c>
      <c r="X715" t="s">
        <v>37</v>
      </c>
      <c r="Y715" s="6">
        <v>4</v>
      </c>
    </row>
    <row r="716" spans="1:25">
      <c r="A716" t="s">
        <v>1102</v>
      </c>
      <c r="B716" s="2">
        <v>45787</v>
      </c>
      <c r="C716">
        <v>2025</v>
      </c>
      <c r="D716" t="s">
        <v>229</v>
      </c>
      <c r="E716" t="s">
        <v>278</v>
      </c>
      <c r="F716" t="s">
        <v>65</v>
      </c>
      <c r="G716" t="s">
        <v>76</v>
      </c>
      <c r="H716" t="s">
        <v>77</v>
      </c>
      <c r="I716" t="s">
        <v>42</v>
      </c>
      <c r="J716" t="s">
        <v>990</v>
      </c>
      <c r="K716" t="s">
        <v>47</v>
      </c>
      <c r="L716" t="s">
        <v>55</v>
      </c>
      <c r="M716" t="s">
        <v>56</v>
      </c>
      <c r="N716" t="s">
        <v>36</v>
      </c>
      <c r="O716" s="3">
        <v>37.08</v>
      </c>
      <c r="P716">
        <v>1</v>
      </c>
      <c r="Q716" s="4">
        <v>0.15</v>
      </c>
      <c r="R716" s="3">
        <v>31.517999999999997</v>
      </c>
      <c r="S716" s="3">
        <v>16.829999999999998</v>
      </c>
      <c r="T716" s="3">
        <v>16.829999999999998</v>
      </c>
      <c r="U716" s="3">
        <v>14.687999999999999</v>
      </c>
      <c r="V716" s="5">
        <v>0.46601941747572817</v>
      </c>
      <c r="W716">
        <v>5</v>
      </c>
      <c r="X716" t="s">
        <v>37</v>
      </c>
      <c r="Y716" s="6">
        <v>4</v>
      </c>
    </row>
    <row r="717" spans="1:25">
      <c r="A717" t="s">
        <v>1103</v>
      </c>
      <c r="B717" s="2">
        <v>45787</v>
      </c>
      <c r="C717">
        <v>2025</v>
      </c>
      <c r="D717" t="s">
        <v>229</v>
      </c>
      <c r="E717" t="s">
        <v>278</v>
      </c>
      <c r="F717" t="s">
        <v>39</v>
      </c>
      <c r="G717" t="s">
        <v>40</v>
      </c>
      <c r="H717" t="s">
        <v>41</v>
      </c>
      <c r="I717" t="s">
        <v>31</v>
      </c>
      <c r="J717" t="s">
        <v>533</v>
      </c>
      <c r="K717" t="s">
        <v>33</v>
      </c>
      <c r="L717" t="s">
        <v>88</v>
      </c>
      <c r="M717" t="s">
        <v>89</v>
      </c>
      <c r="N717" t="s">
        <v>36</v>
      </c>
      <c r="O717" s="3">
        <v>244.81</v>
      </c>
      <c r="P717">
        <v>1</v>
      </c>
      <c r="Q717" s="4">
        <v>0.05</v>
      </c>
      <c r="R717" s="3">
        <v>232.56950000000001</v>
      </c>
      <c r="S717" s="3">
        <v>128.6</v>
      </c>
      <c r="T717" s="3">
        <v>128.6</v>
      </c>
      <c r="U717" s="3">
        <v>103.96950000000001</v>
      </c>
      <c r="V717" s="5">
        <v>0.44704701175347589</v>
      </c>
      <c r="W717">
        <v>6</v>
      </c>
      <c r="X717" t="s">
        <v>37</v>
      </c>
      <c r="Y717" s="6">
        <v>4</v>
      </c>
    </row>
    <row r="718" spans="1:25">
      <c r="A718" t="s">
        <v>1104</v>
      </c>
      <c r="B718" s="2">
        <v>45787</v>
      </c>
      <c r="C718">
        <v>2025</v>
      </c>
      <c r="D718" t="s">
        <v>229</v>
      </c>
      <c r="E718" t="s">
        <v>278</v>
      </c>
      <c r="F718" t="s">
        <v>28</v>
      </c>
      <c r="G718" t="s">
        <v>29</v>
      </c>
      <c r="H718" t="s">
        <v>30</v>
      </c>
      <c r="I718" t="s">
        <v>71</v>
      </c>
      <c r="J718" t="s">
        <v>46</v>
      </c>
      <c r="K718" t="s">
        <v>61</v>
      </c>
      <c r="L718" t="s">
        <v>84</v>
      </c>
      <c r="M718" t="s">
        <v>135</v>
      </c>
      <c r="N718" t="s">
        <v>57</v>
      </c>
      <c r="O718" s="3">
        <v>895.27</v>
      </c>
      <c r="P718">
        <v>3</v>
      </c>
      <c r="Q718" s="4">
        <v>0.15</v>
      </c>
      <c r="R718" s="3">
        <v>2282.9384999999997</v>
      </c>
      <c r="S718" s="3">
        <v>577.65</v>
      </c>
      <c r="T718" s="3">
        <v>1732.9499999999998</v>
      </c>
      <c r="U718" s="3">
        <v>549.98849999999993</v>
      </c>
      <c r="V718" s="5">
        <v>0.24091253443752428</v>
      </c>
      <c r="W718">
        <v>6</v>
      </c>
      <c r="X718" t="s">
        <v>37</v>
      </c>
      <c r="Y718" s="6">
        <v>4</v>
      </c>
    </row>
    <row r="719" spans="1:25">
      <c r="A719" t="s">
        <v>1105</v>
      </c>
      <c r="B719" s="2">
        <v>45787</v>
      </c>
      <c r="C719">
        <v>2025</v>
      </c>
      <c r="D719" t="s">
        <v>229</v>
      </c>
      <c r="E719" t="s">
        <v>278</v>
      </c>
      <c r="F719" t="s">
        <v>39</v>
      </c>
      <c r="G719" t="s">
        <v>111</v>
      </c>
      <c r="H719" t="s">
        <v>112</v>
      </c>
      <c r="I719" t="s">
        <v>42</v>
      </c>
      <c r="J719" t="s">
        <v>670</v>
      </c>
      <c r="K719" t="s">
        <v>47</v>
      </c>
      <c r="L719" t="s">
        <v>55</v>
      </c>
      <c r="M719" t="s">
        <v>56</v>
      </c>
      <c r="N719" t="s">
        <v>44</v>
      </c>
      <c r="O719" s="3">
        <v>40.61</v>
      </c>
      <c r="P719">
        <v>6</v>
      </c>
      <c r="Q719" s="4">
        <v>0</v>
      </c>
      <c r="R719" s="3">
        <v>243.66</v>
      </c>
      <c r="S719" s="3">
        <v>16.62</v>
      </c>
      <c r="T719" s="3">
        <v>99.72</v>
      </c>
      <c r="U719" s="3">
        <v>143.94</v>
      </c>
      <c r="V719" s="5">
        <v>0.59074119674956904</v>
      </c>
      <c r="W719">
        <v>1</v>
      </c>
      <c r="X719" t="s">
        <v>37</v>
      </c>
      <c r="Y719" s="6">
        <v>5</v>
      </c>
    </row>
    <row r="720" spans="1:25">
      <c r="A720" t="s">
        <v>1106</v>
      </c>
      <c r="B720" s="2">
        <v>45787</v>
      </c>
      <c r="C720">
        <v>2025</v>
      </c>
      <c r="D720" t="s">
        <v>229</v>
      </c>
      <c r="E720" t="s">
        <v>278</v>
      </c>
      <c r="F720" t="s">
        <v>28</v>
      </c>
      <c r="G720" t="s">
        <v>29</v>
      </c>
      <c r="H720" t="s">
        <v>60</v>
      </c>
      <c r="I720" t="s">
        <v>71</v>
      </c>
      <c r="J720" t="s">
        <v>1083</v>
      </c>
      <c r="K720" t="s">
        <v>47</v>
      </c>
      <c r="L720" t="s">
        <v>114</v>
      </c>
      <c r="M720" t="s">
        <v>120</v>
      </c>
      <c r="N720" t="s">
        <v>36</v>
      </c>
      <c r="O720" s="3">
        <v>26.31</v>
      </c>
      <c r="P720">
        <v>12</v>
      </c>
      <c r="Q720" s="4">
        <v>0.1</v>
      </c>
      <c r="R720" s="3">
        <v>284.14799999999997</v>
      </c>
      <c r="S720" s="3">
        <v>11.12</v>
      </c>
      <c r="T720" s="3">
        <v>133.44</v>
      </c>
      <c r="U720" s="3">
        <v>150.70799999999997</v>
      </c>
      <c r="V720" s="5">
        <v>0.5303855737151062</v>
      </c>
      <c r="W720">
        <v>3</v>
      </c>
      <c r="X720" t="s">
        <v>37</v>
      </c>
      <c r="Y720" s="6">
        <v>4</v>
      </c>
    </row>
    <row r="721" spans="1:25">
      <c r="A721" t="s">
        <v>1107</v>
      </c>
      <c r="B721" s="2">
        <v>45789</v>
      </c>
      <c r="C721">
        <v>2025</v>
      </c>
      <c r="D721" t="s">
        <v>229</v>
      </c>
      <c r="E721" t="s">
        <v>278</v>
      </c>
      <c r="F721" t="s">
        <v>28</v>
      </c>
      <c r="G721" t="s">
        <v>29</v>
      </c>
      <c r="H721" t="s">
        <v>106</v>
      </c>
      <c r="I721" t="s">
        <v>71</v>
      </c>
      <c r="J721" t="s">
        <v>148</v>
      </c>
      <c r="K721" t="s">
        <v>61</v>
      </c>
      <c r="L721" t="s">
        <v>80</v>
      </c>
      <c r="M721" t="s">
        <v>187</v>
      </c>
      <c r="N721" t="s">
        <v>44</v>
      </c>
      <c r="O721" s="3">
        <v>1234.49</v>
      </c>
      <c r="P721">
        <v>5</v>
      </c>
      <c r="Q721" s="4">
        <v>0</v>
      </c>
      <c r="R721" s="3">
        <v>6172.45</v>
      </c>
      <c r="S721" s="3">
        <v>836.49</v>
      </c>
      <c r="T721" s="3">
        <v>4182.45</v>
      </c>
      <c r="U721" s="3">
        <v>1990</v>
      </c>
      <c r="V721" s="5">
        <v>0.32240034346167246</v>
      </c>
      <c r="W721">
        <v>2</v>
      </c>
      <c r="X721" t="s">
        <v>37</v>
      </c>
      <c r="Y721" s="6">
        <v>5</v>
      </c>
    </row>
    <row r="722" spans="1:25">
      <c r="A722" t="s">
        <v>1108</v>
      </c>
      <c r="B722" s="2">
        <v>45789</v>
      </c>
      <c r="C722">
        <v>2025</v>
      </c>
      <c r="D722" t="s">
        <v>229</v>
      </c>
      <c r="E722" t="s">
        <v>278</v>
      </c>
      <c r="F722" t="s">
        <v>51</v>
      </c>
      <c r="G722" t="s">
        <v>97</v>
      </c>
      <c r="H722" t="s">
        <v>98</v>
      </c>
      <c r="I722" t="s">
        <v>42</v>
      </c>
      <c r="J722" t="s">
        <v>583</v>
      </c>
      <c r="K722" t="s">
        <v>61</v>
      </c>
      <c r="L722" t="s">
        <v>84</v>
      </c>
      <c r="M722" t="s">
        <v>135</v>
      </c>
      <c r="N722" t="s">
        <v>44</v>
      </c>
      <c r="O722" s="3">
        <v>856.47</v>
      </c>
      <c r="P722">
        <v>3</v>
      </c>
      <c r="Q722" s="4">
        <v>0.1</v>
      </c>
      <c r="R722" s="3">
        <v>2312.4690000000001</v>
      </c>
      <c r="S722" s="3">
        <v>581.98</v>
      </c>
      <c r="T722" s="3">
        <v>1745.94</v>
      </c>
      <c r="U722" s="3">
        <v>566.529</v>
      </c>
      <c r="V722" s="5">
        <v>0.24498879768766629</v>
      </c>
      <c r="W722">
        <v>9</v>
      </c>
      <c r="X722" t="s">
        <v>37</v>
      </c>
      <c r="Y722" s="6">
        <v>3</v>
      </c>
    </row>
    <row r="723" spans="1:25">
      <c r="A723" t="s">
        <v>1109</v>
      </c>
      <c r="B723" s="2">
        <v>45789</v>
      </c>
      <c r="C723">
        <v>2025</v>
      </c>
      <c r="D723" t="s">
        <v>229</v>
      </c>
      <c r="E723" t="s">
        <v>278</v>
      </c>
      <c r="F723" t="s">
        <v>65</v>
      </c>
      <c r="G723" t="s">
        <v>76</v>
      </c>
      <c r="H723" t="s">
        <v>77</v>
      </c>
      <c r="I723" t="s">
        <v>78</v>
      </c>
      <c r="J723" t="s">
        <v>1080</v>
      </c>
      <c r="K723" t="s">
        <v>61</v>
      </c>
      <c r="L723" t="s">
        <v>80</v>
      </c>
      <c r="M723" t="s">
        <v>81</v>
      </c>
      <c r="N723" t="s">
        <v>36</v>
      </c>
      <c r="O723" s="3">
        <v>1022.69</v>
      </c>
      <c r="P723">
        <v>5</v>
      </c>
      <c r="Q723" s="4">
        <v>0.1</v>
      </c>
      <c r="R723" s="3">
        <v>4602.1050000000005</v>
      </c>
      <c r="S723" s="3">
        <v>647.34</v>
      </c>
      <c r="T723" s="3">
        <v>3236.7000000000003</v>
      </c>
      <c r="U723" s="3">
        <v>1365.4050000000002</v>
      </c>
      <c r="V723" s="5">
        <v>0.29669140534603189</v>
      </c>
      <c r="W723">
        <v>5</v>
      </c>
      <c r="X723" t="s">
        <v>37</v>
      </c>
      <c r="Y723" s="6">
        <v>4</v>
      </c>
    </row>
    <row r="724" spans="1:25">
      <c r="A724" t="s">
        <v>1110</v>
      </c>
      <c r="B724" s="2">
        <v>45789</v>
      </c>
      <c r="C724">
        <v>2025</v>
      </c>
      <c r="D724" t="s">
        <v>229</v>
      </c>
      <c r="E724" t="s">
        <v>278</v>
      </c>
      <c r="F724" t="s">
        <v>51</v>
      </c>
      <c r="G724" t="s">
        <v>52</v>
      </c>
      <c r="H724" t="s">
        <v>53</v>
      </c>
      <c r="I724" t="s">
        <v>71</v>
      </c>
      <c r="J724" t="s">
        <v>683</v>
      </c>
      <c r="K724" t="s">
        <v>33</v>
      </c>
      <c r="L724" t="s">
        <v>34</v>
      </c>
      <c r="M724" t="s">
        <v>35</v>
      </c>
      <c r="N724" t="s">
        <v>36</v>
      </c>
      <c r="O724" s="3">
        <v>173.84</v>
      </c>
      <c r="P724">
        <v>4</v>
      </c>
      <c r="Q724" s="4">
        <v>0.15</v>
      </c>
      <c r="R724" s="3">
        <v>591.05600000000004</v>
      </c>
      <c r="S724" s="3">
        <v>90.74</v>
      </c>
      <c r="T724" s="3">
        <v>362.96</v>
      </c>
      <c r="U724" s="3">
        <v>228.09600000000006</v>
      </c>
      <c r="V724" s="5">
        <v>0.38591267155734826</v>
      </c>
      <c r="W724">
        <v>7</v>
      </c>
      <c r="X724" t="s">
        <v>37</v>
      </c>
      <c r="Y724" s="6">
        <v>4</v>
      </c>
    </row>
    <row r="725" spans="1:25">
      <c r="A725" t="s">
        <v>1111</v>
      </c>
      <c r="B725" s="2">
        <v>45790</v>
      </c>
      <c r="C725">
        <v>2025</v>
      </c>
      <c r="D725" t="s">
        <v>229</v>
      </c>
      <c r="E725" t="s">
        <v>278</v>
      </c>
      <c r="F725" t="s">
        <v>51</v>
      </c>
      <c r="G725" t="s">
        <v>52</v>
      </c>
      <c r="H725" t="s">
        <v>102</v>
      </c>
      <c r="I725" t="s">
        <v>71</v>
      </c>
      <c r="J725" t="s">
        <v>330</v>
      </c>
      <c r="K725" t="s">
        <v>61</v>
      </c>
      <c r="L725" t="s">
        <v>80</v>
      </c>
      <c r="M725" t="s">
        <v>81</v>
      </c>
      <c r="N725" t="s">
        <v>44</v>
      </c>
      <c r="O725" s="3">
        <v>980.03</v>
      </c>
      <c r="P725">
        <v>4</v>
      </c>
      <c r="Q725" s="4">
        <v>0.15</v>
      </c>
      <c r="R725" s="3">
        <v>3332.1019999999999</v>
      </c>
      <c r="S725" s="3">
        <v>658.19</v>
      </c>
      <c r="T725" s="3">
        <v>2632.76</v>
      </c>
      <c r="U725" s="3">
        <v>699.34199999999964</v>
      </c>
      <c r="V725" s="5">
        <v>0.20988012971991843</v>
      </c>
      <c r="W725">
        <v>7</v>
      </c>
      <c r="X725" t="s">
        <v>37</v>
      </c>
      <c r="Y725" s="6">
        <v>4</v>
      </c>
    </row>
    <row r="726" spans="1:25">
      <c r="A726" t="s">
        <v>1112</v>
      </c>
      <c r="B726" s="2">
        <v>45791</v>
      </c>
      <c r="C726">
        <v>2025</v>
      </c>
      <c r="D726" t="s">
        <v>229</v>
      </c>
      <c r="E726" t="s">
        <v>278</v>
      </c>
      <c r="F726" t="s">
        <v>28</v>
      </c>
      <c r="G726" t="s">
        <v>29</v>
      </c>
      <c r="H726" t="s">
        <v>106</v>
      </c>
      <c r="I726" t="s">
        <v>71</v>
      </c>
      <c r="J726" t="s">
        <v>1113</v>
      </c>
      <c r="K726" t="s">
        <v>47</v>
      </c>
      <c r="L726" t="s">
        <v>48</v>
      </c>
      <c r="M726" t="s">
        <v>49</v>
      </c>
      <c r="N726" t="s">
        <v>36</v>
      </c>
      <c r="O726" s="3">
        <v>32.47</v>
      </c>
      <c r="P726">
        <v>8</v>
      </c>
      <c r="Q726" s="4">
        <v>0</v>
      </c>
      <c r="R726" s="3">
        <v>259.76</v>
      </c>
      <c r="S726" s="3">
        <v>14.24</v>
      </c>
      <c r="T726" s="3">
        <v>113.92</v>
      </c>
      <c r="U726" s="3">
        <v>145.83999999999997</v>
      </c>
      <c r="V726" s="5">
        <v>0.561441330458885</v>
      </c>
      <c r="W726">
        <v>2</v>
      </c>
      <c r="X726" t="s">
        <v>58</v>
      </c>
      <c r="Y726" s="6">
        <v>3</v>
      </c>
    </row>
    <row r="727" spans="1:25">
      <c r="A727" t="s">
        <v>1114</v>
      </c>
      <c r="B727" s="2">
        <v>45792</v>
      </c>
      <c r="C727">
        <v>2025</v>
      </c>
      <c r="D727" t="s">
        <v>229</v>
      </c>
      <c r="E727" t="s">
        <v>278</v>
      </c>
      <c r="F727" t="s">
        <v>39</v>
      </c>
      <c r="G727" t="s">
        <v>40</v>
      </c>
      <c r="H727" t="s">
        <v>41</v>
      </c>
      <c r="I727" t="s">
        <v>31</v>
      </c>
      <c r="J727" t="s">
        <v>695</v>
      </c>
      <c r="K727" t="s">
        <v>47</v>
      </c>
      <c r="L727" t="s">
        <v>114</v>
      </c>
      <c r="M727" t="s">
        <v>115</v>
      </c>
      <c r="N727" t="s">
        <v>57</v>
      </c>
      <c r="O727" s="3">
        <v>17.649999999999999</v>
      </c>
      <c r="P727">
        <v>6</v>
      </c>
      <c r="Q727" s="4">
        <v>0</v>
      </c>
      <c r="R727" s="3">
        <v>105.89999999999999</v>
      </c>
      <c r="S727" s="3">
        <v>6.91</v>
      </c>
      <c r="T727" s="3">
        <v>41.46</v>
      </c>
      <c r="U727" s="3">
        <v>64.44</v>
      </c>
      <c r="V727" s="5">
        <v>0.60849858356940512</v>
      </c>
      <c r="W727">
        <v>5</v>
      </c>
      <c r="X727" t="s">
        <v>37</v>
      </c>
      <c r="Y727" s="6">
        <v>5</v>
      </c>
    </row>
    <row r="728" spans="1:25">
      <c r="A728" t="s">
        <v>1115</v>
      </c>
      <c r="B728" s="2">
        <v>45793</v>
      </c>
      <c r="C728">
        <v>2025</v>
      </c>
      <c r="D728" t="s">
        <v>229</v>
      </c>
      <c r="E728" t="s">
        <v>278</v>
      </c>
      <c r="F728" t="s">
        <v>39</v>
      </c>
      <c r="G728" t="s">
        <v>40</v>
      </c>
      <c r="H728" t="s">
        <v>41</v>
      </c>
      <c r="I728" t="s">
        <v>71</v>
      </c>
      <c r="J728" t="s">
        <v>758</v>
      </c>
      <c r="K728" t="s">
        <v>33</v>
      </c>
      <c r="L728" t="s">
        <v>73</v>
      </c>
      <c r="M728" t="s">
        <v>74</v>
      </c>
      <c r="N728" t="s">
        <v>36</v>
      </c>
      <c r="O728" s="3">
        <v>671.08</v>
      </c>
      <c r="P728">
        <v>5</v>
      </c>
      <c r="Q728" s="4">
        <v>0.1</v>
      </c>
      <c r="R728" s="3">
        <v>3019.86</v>
      </c>
      <c r="S728" s="3">
        <v>429.98</v>
      </c>
      <c r="T728" s="3">
        <v>2149.9</v>
      </c>
      <c r="U728" s="3">
        <v>869.96</v>
      </c>
      <c r="V728" s="5">
        <v>0.28807957984807242</v>
      </c>
      <c r="W728">
        <v>2</v>
      </c>
      <c r="X728" t="s">
        <v>37</v>
      </c>
      <c r="Y728" s="6">
        <v>4</v>
      </c>
    </row>
    <row r="729" spans="1:25">
      <c r="A729" t="s">
        <v>1116</v>
      </c>
      <c r="B729" s="2">
        <v>45795</v>
      </c>
      <c r="C729">
        <v>2025</v>
      </c>
      <c r="D729" t="s">
        <v>229</v>
      </c>
      <c r="E729" t="s">
        <v>278</v>
      </c>
      <c r="F729" t="s">
        <v>28</v>
      </c>
      <c r="G729" t="s">
        <v>29</v>
      </c>
      <c r="H729" t="s">
        <v>106</v>
      </c>
      <c r="I729" t="s">
        <v>31</v>
      </c>
      <c r="J729" t="s">
        <v>456</v>
      </c>
      <c r="K729" t="s">
        <v>47</v>
      </c>
      <c r="L729" t="s">
        <v>48</v>
      </c>
      <c r="M729" t="s">
        <v>104</v>
      </c>
      <c r="N729" t="s">
        <v>44</v>
      </c>
      <c r="O729" s="3">
        <v>55.27</v>
      </c>
      <c r="P729">
        <v>10</v>
      </c>
      <c r="Q729" s="4">
        <v>0.05</v>
      </c>
      <c r="R729" s="3">
        <v>525.06500000000005</v>
      </c>
      <c r="S729" s="3">
        <v>31.56</v>
      </c>
      <c r="T729" s="3">
        <v>315.59999999999997</v>
      </c>
      <c r="U729" s="3">
        <v>209.46500000000009</v>
      </c>
      <c r="V729" s="5">
        <v>0.39893156085437054</v>
      </c>
      <c r="W729">
        <v>3</v>
      </c>
      <c r="X729" t="s">
        <v>37</v>
      </c>
      <c r="Y729" s="6">
        <v>5</v>
      </c>
    </row>
    <row r="730" spans="1:25">
      <c r="A730" t="s">
        <v>1117</v>
      </c>
      <c r="B730" s="2">
        <v>45798</v>
      </c>
      <c r="C730">
        <v>2025</v>
      </c>
      <c r="D730" t="s">
        <v>229</v>
      </c>
      <c r="E730" t="s">
        <v>278</v>
      </c>
      <c r="F730" t="s">
        <v>28</v>
      </c>
      <c r="G730" t="s">
        <v>29</v>
      </c>
      <c r="H730" t="s">
        <v>60</v>
      </c>
      <c r="I730" t="s">
        <v>42</v>
      </c>
      <c r="J730" t="s">
        <v>495</v>
      </c>
      <c r="K730" t="s">
        <v>61</v>
      </c>
      <c r="L730" t="s">
        <v>84</v>
      </c>
      <c r="M730" t="s">
        <v>135</v>
      </c>
      <c r="N730" t="s">
        <v>44</v>
      </c>
      <c r="O730" s="3">
        <v>926.07</v>
      </c>
      <c r="P730">
        <v>1</v>
      </c>
      <c r="Q730" s="4">
        <v>0.1</v>
      </c>
      <c r="R730" s="3">
        <v>833.46300000000008</v>
      </c>
      <c r="S730" s="3">
        <v>586.88</v>
      </c>
      <c r="T730" s="3">
        <v>586.88</v>
      </c>
      <c r="U730" s="3">
        <v>246.58300000000008</v>
      </c>
      <c r="V730" s="5">
        <v>0.29585356518525724</v>
      </c>
      <c r="W730">
        <v>5</v>
      </c>
      <c r="X730" t="s">
        <v>37</v>
      </c>
      <c r="Y730" s="6">
        <v>4</v>
      </c>
    </row>
    <row r="731" spans="1:25">
      <c r="A731" t="s">
        <v>1118</v>
      </c>
      <c r="B731" s="2">
        <v>45799</v>
      </c>
      <c r="C731">
        <v>2025</v>
      </c>
      <c r="D731" t="s">
        <v>229</v>
      </c>
      <c r="E731" t="s">
        <v>278</v>
      </c>
      <c r="F731" t="s">
        <v>28</v>
      </c>
      <c r="G731" t="s">
        <v>29</v>
      </c>
      <c r="H731" t="s">
        <v>106</v>
      </c>
      <c r="I731" t="s">
        <v>31</v>
      </c>
      <c r="J731" t="s">
        <v>1119</v>
      </c>
      <c r="K731" t="s">
        <v>33</v>
      </c>
      <c r="L731" t="s">
        <v>88</v>
      </c>
      <c r="M731" t="s">
        <v>100</v>
      </c>
      <c r="N731" t="s">
        <v>57</v>
      </c>
      <c r="O731" s="3">
        <v>295.69</v>
      </c>
      <c r="P731">
        <v>5</v>
      </c>
      <c r="Q731" s="4">
        <v>0.05</v>
      </c>
      <c r="R731" s="3">
        <v>1404.5274999999999</v>
      </c>
      <c r="S731" s="3">
        <v>153.65</v>
      </c>
      <c r="T731" s="3">
        <v>768.25</v>
      </c>
      <c r="U731" s="3">
        <v>636.27749999999992</v>
      </c>
      <c r="V731" s="5">
        <v>0.45301889781438953</v>
      </c>
      <c r="W731">
        <v>2</v>
      </c>
      <c r="X731" t="s">
        <v>37</v>
      </c>
      <c r="Y731" s="6">
        <v>5</v>
      </c>
    </row>
    <row r="732" spans="1:25">
      <c r="A732" t="s">
        <v>1120</v>
      </c>
      <c r="B732" s="2">
        <v>45800</v>
      </c>
      <c r="C732">
        <v>2025</v>
      </c>
      <c r="D732" t="s">
        <v>229</v>
      </c>
      <c r="E732" t="s">
        <v>278</v>
      </c>
      <c r="F732" t="s">
        <v>28</v>
      </c>
      <c r="G732" t="s">
        <v>29</v>
      </c>
      <c r="H732" t="s">
        <v>106</v>
      </c>
      <c r="I732" t="s">
        <v>78</v>
      </c>
      <c r="J732" t="s">
        <v>583</v>
      </c>
      <c r="K732" t="s">
        <v>61</v>
      </c>
      <c r="L732" t="s">
        <v>84</v>
      </c>
      <c r="M732" t="s">
        <v>85</v>
      </c>
      <c r="N732" t="s">
        <v>36</v>
      </c>
      <c r="O732" s="3">
        <v>143.96</v>
      </c>
      <c r="P732">
        <v>2</v>
      </c>
      <c r="Q732" s="4">
        <v>0.05</v>
      </c>
      <c r="R732" s="3">
        <v>273.524</v>
      </c>
      <c r="S732" s="3">
        <v>69.97</v>
      </c>
      <c r="T732" s="3">
        <v>139.94</v>
      </c>
      <c r="U732" s="3">
        <v>133.584</v>
      </c>
      <c r="V732" s="5">
        <v>0.48838127550050453</v>
      </c>
      <c r="W732">
        <v>2</v>
      </c>
      <c r="X732" t="s">
        <v>37</v>
      </c>
      <c r="Y732" s="6">
        <v>5</v>
      </c>
    </row>
    <row r="733" spans="1:25">
      <c r="A733" t="s">
        <v>1121</v>
      </c>
      <c r="B733" s="2">
        <v>45801</v>
      </c>
      <c r="C733">
        <v>2025</v>
      </c>
      <c r="D733" t="s">
        <v>229</v>
      </c>
      <c r="E733" t="s">
        <v>278</v>
      </c>
      <c r="F733" t="s">
        <v>65</v>
      </c>
      <c r="G733" t="s">
        <v>76</v>
      </c>
      <c r="H733" t="s">
        <v>126</v>
      </c>
      <c r="I733" t="s">
        <v>78</v>
      </c>
      <c r="J733" t="s">
        <v>203</v>
      </c>
      <c r="K733" t="s">
        <v>61</v>
      </c>
      <c r="L733" t="s">
        <v>62</v>
      </c>
      <c r="M733" t="s">
        <v>63</v>
      </c>
      <c r="N733" t="s">
        <v>57</v>
      </c>
      <c r="O733" s="3">
        <v>91.03</v>
      </c>
      <c r="P733">
        <v>3</v>
      </c>
      <c r="Q733" s="4">
        <v>0.1</v>
      </c>
      <c r="R733" s="3">
        <v>245.78100000000003</v>
      </c>
      <c r="S733" s="3">
        <v>43.2</v>
      </c>
      <c r="T733" s="3">
        <v>129.60000000000002</v>
      </c>
      <c r="U733" s="3">
        <v>116.18100000000001</v>
      </c>
      <c r="V733" s="5">
        <v>0.47270130726134241</v>
      </c>
      <c r="W733">
        <v>7</v>
      </c>
      <c r="X733" t="s">
        <v>37</v>
      </c>
      <c r="Y733" s="6">
        <v>4</v>
      </c>
    </row>
    <row r="734" spans="1:25">
      <c r="A734" t="s">
        <v>1122</v>
      </c>
      <c r="B734" s="2">
        <v>45804</v>
      </c>
      <c r="C734">
        <v>2025</v>
      </c>
      <c r="D734" t="s">
        <v>229</v>
      </c>
      <c r="E734" t="s">
        <v>278</v>
      </c>
      <c r="F734" t="s">
        <v>65</v>
      </c>
      <c r="G734" t="s">
        <v>76</v>
      </c>
      <c r="H734" t="s">
        <v>77</v>
      </c>
      <c r="I734" t="s">
        <v>78</v>
      </c>
      <c r="J734" t="s">
        <v>466</v>
      </c>
      <c r="K734" t="s">
        <v>47</v>
      </c>
      <c r="L734" t="s">
        <v>55</v>
      </c>
      <c r="M734" t="s">
        <v>56</v>
      </c>
      <c r="N734" t="s">
        <v>36</v>
      </c>
      <c r="O734" s="3">
        <v>39.22</v>
      </c>
      <c r="P734">
        <v>1</v>
      </c>
      <c r="Q734" s="4">
        <v>0.15</v>
      </c>
      <c r="R734" s="3">
        <v>33.336999999999996</v>
      </c>
      <c r="S734" s="3">
        <v>16.98</v>
      </c>
      <c r="T734" s="3">
        <v>16.98</v>
      </c>
      <c r="U734" s="3">
        <v>16.356999999999996</v>
      </c>
      <c r="V734" s="5">
        <v>0.49065602783693785</v>
      </c>
      <c r="W734">
        <v>3</v>
      </c>
      <c r="X734" t="s">
        <v>37</v>
      </c>
      <c r="Y734" s="6">
        <v>5</v>
      </c>
    </row>
    <row r="735" spans="1:25">
      <c r="A735" t="s">
        <v>1123</v>
      </c>
      <c r="B735" s="2">
        <v>45806</v>
      </c>
      <c r="C735">
        <v>2025</v>
      </c>
      <c r="D735" t="s">
        <v>229</v>
      </c>
      <c r="E735" t="s">
        <v>278</v>
      </c>
      <c r="F735" t="s">
        <v>28</v>
      </c>
      <c r="G735" t="s">
        <v>29</v>
      </c>
      <c r="H735" t="s">
        <v>30</v>
      </c>
      <c r="I735" t="s">
        <v>31</v>
      </c>
      <c r="J735" t="s">
        <v>883</v>
      </c>
      <c r="K735" t="s">
        <v>33</v>
      </c>
      <c r="L735" t="s">
        <v>73</v>
      </c>
      <c r="M735" t="s">
        <v>74</v>
      </c>
      <c r="N735" t="s">
        <v>44</v>
      </c>
      <c r="O735" s="3">
        <v>665.22</v>
      </c>
      <c r="P735">
        <v>4</v>
      </c>
      <c r="Q735" s="4">
        <v>0</v>
      </c>
      <c r="R735" s="3">
        <v>2660.88</v>
      </c>
      <c r="S735" s="3">
        <v>414.85</v>
      </c>
      <c r="T735" s="3">
        <v>1659.4</v>
      </c>
      <c r="U735" s="3">
        <v>1001.48</v>
      </c>
      <c r="V735" s="5">
        <v>0.37637172664682361</v>
      </c>
      <c r="W735">
        <v>3</v>
      </c>
      <c r="X735" t="s">
        <v>37</v>
      </c>
      <c r="Y735" s="6">
        <v>5</v>
      </c>
    </row>
    <row r="736" spans="1:25">
      <c r="A736" t="s">
        <v>1124</v>
      </c>
      <c r="B736" s="2">
        <v>45808</v>
      </c>
      <c r="C736">
        <v>2025</v>
      </c>
      <c r="D736" t="s">
        <v>229</v>
      </c>
      <c r="E736" t="s">
        <v>278</v>
      </c>
      <c r="F736" t="s">
        <v>28</v>
      </c>
      <c r="G736" t="s">
        <v>29</v>
      </c>
      <c r="H736" t="s">
        <v>106</v>
      </c>
      <c r="I736" t="s">
        <v>31</v>
      </c>
      <c r="J736" t="s">
        <v>68</v>
      </c>
      <c r="K736" t="s">
        <v>47</v>
      </c>
      <c r="L736" t="s">
        <v>48</v>
      </c>
      <c r="M736" t="s">
        <v>49</v>
      </c>
      <c r="N736" t="s">
        <v>44</v>
      </c>
      <c r="O736" s="3">
        <v>31.58</v>
      </c>
      <c r="P736">
        <v>2</v>
      </c>
      <c r="Q736" s="4">
        <v>0.15</v>
      </c>
      <c r="R736" s="3">
        <v>53.685999999999993</v>
      </c>
      <c r="S736" s="3">
        <v>14.18</v>
      </c>
      <c r="T736" s="3">
        <v>28.36</v>
      </c>
      <c r="U736" s="3">
        <v>25.325999999999993</v>
      </c>
      <c r="V736" s="5">
        <v>0.47174309875945308</v>
      </c>
      <c r="W736">
        <v>5</v>
      </c>
      <c r="X736" t="s">
        <v>37</v>
      </c>
      <c r="Y736" s="6">
        <v>4</v>
      </c>
    </row>
    <row r="737" spans="1:25">
      <c r="A737" t="s">
        <v>1125</v>
      </c>
      <c r="B737" s="2">
        <v>45810</v>
      </c>
      <c r="C737">
        <v>2025</v>
      </c>
      <c r="D737" t="s">
        <v>229</v>
      </c>
      <c r="E737" t="s">
        <v>328</v>
      </c>
      <c r="F737" t="s">
        <v>39</v>
      </c>
      <c r="G737" t="s">
        <v>40</v>
      </c>
      <c r="H737" t="s">
        <v>41</v>
      </c>
      <c r="I737" t="s">
        <v>78</v>
      </c>
      <c r="J737" t="s">
        <v>925</v>
      </c>
      <c r="K737" t="s">
        <v>61</v>
      </c>
      <c r="L737" t="s">
        <v>62</v>
      </c>
      <c r="M737" t="s">
        <v>63</v>
      </c>
      <c r="N737" t="s">
        <v>44</v>
      </c>
      <c r="O737" s="3">
        <v>89.53</v>
      </c>
      <c r="P737">
        <v>2</v>
      </c>
      <c r="Q737" s="4">
        <v>0.1</v>
      </c>
      <c r="R737" s="3">
        <v>161.154</v>
      </c>
      <c r="S737" s="3">
        <v>43.67</v>
      </c>
      <c r="T737" s="3">
        <v>87.34</v>
      </c>
      <c r="U737" s="3">
        <v>73.813999999999993</v>
      </c>
      <c r="V737" s="5">
        <v>0.45803393027787082</v>
      </c>
      <c r="W737">
        <v>7</v>
      </c>
      <c r="X737" t="s">
        <v>37</v>
      </c>
      <c r="Y737" s="6">
        <v>4</v>
      </c>
    </row>
    <row r="738" spans="1:25">
      <c r="A738" t="s">
        <v>1126</v>
      </c>
      <c r="B738" s="2">
        <v>45812</v>
      </c>
      <c r="C738">
        <v>2025</v>
      </c>
      <c r="D738" t="s">
        <v>229</v>
      </c>
      <c r="E738" t="s">
        <v>328</v>
      </c>
      <c r="F738" t="s">
        <v>39</v>
      </c>
      <c r="G738" t="s">
        <v>91</v>
      </c>
      <c r="H738" t="s">
        <v>92</v>
      </c>
      <c r="I738" t="s">
        <v>31</v>
      </c>
      <c r="J738" t="s">
        <v>846</v>
      </c>
      <c r="K738" t="s">
        <v>47</v>
      </c>
      <c r="L738" t="s">
        <v>114</v>
      </c>
      <c r="M738" t="s">
        <v>115</v>
      </c>
      <c r="N738" t="s">
        <v>57</v>
      </c>
      <c r="O738" s="3">
        <v>18.75</v>
      </c>
      <c r="P738">
        <v>10</v>
      </c>
      <c r="Q738" s="4">
        <v>0.1</v>
      </c>
      <c r="R738" s="3">
        <v>168.75</v>
      </c>
      <c r="S738" s="3">
        <v>6.99</v>
      </c>
      <c r="T738" s="3">
        <v>69.900000000000006</v>
      </c>
      <c r="U738" s="3">
        <v>98.85</v>
      </c>
      <c r="V738" s="5">
        <v>0.58577777777777773</v>
      </c>
      <c r="W738">
        <v>7</v>
      </c>
      <c r="X738" t="s">
        <v>37</v>
      </c>
      <c r="Y738" s="6">
        <v>4</v>
      </c>
    </row>
    <row r="739" spans="1:25">
      <c r="A739" t="s">
        <v>1127</v>
      </c>
      <c r="B739" s="2">
        <v>45813</v>
      </c>
      <c r="C739">
        <v>2025</v>
      </c>
      <c r="D739" t="s">
        <v>229</v>
      </c>
      <c r="E739" t="s">
        <v>328</v>
      </c>
      <c r="F739" t="s">
        <v>39</v>
      </c>
      <c r="G739" t="s">
        <v>111</v>
      </c>
      <c r="H739" t="s">
        <v>112</v>
      </c>
      <c r="I739" t="s">
        <v>71</v>
      </c>
      <c r="J739" t="s">
        <v>925</v>
      </c>
      <c r="K739" t="s">
        <v>61</v>
      </c>
      <c r="L739" t="s">
        <v>80</v>
      </c>
      <c r="M739" t="s">
        <v>187</v>
      </c>
      <c r="N739" t="s">
        <v>57</v>
      </c>
      <c r="O739" s="3">
        <v>1251.6199999999999</v>
      </c>
      <c r="P739">
        <v>2</v>
      </c>
      <c r="Q739" s="4">
        <v>0.2</v>
      </c>
      <c r="R739" s="3">
        <v>2002.5919999999999</v>
      </c>
      <c r="S739" s="3">
        <v>860.79</v>
      </c>
      <c r="T739" s="3">
        <v>1721.58</v>
      </c>
      <c r="U739" s="3">
        <v>281.01199999999994</v>
      </c>
      <c r="V739" s="5">
        <v>0.14032413991467058</v>
      </c>
      <c r="W739">
        <v>5</v>
      </c>
      <c r="X739" t="s">
        <v>37</v>
      </c>
      <c r="Y739" s="6">
        <v>5</v>
      </c>
    </row>
    <row r="740" spans="1:25">
      <c r="A740" t="s">
        <v>1128</v>
      </c>
      <c r="B740" s="2">
        <v>45816</v>
      </c>
      <c r="C740">
        <v>2025</v>
      </c>
      <c r="D740" t="s">
        <v>229</v>
      </c>
      <c r="E740" t="s">
        <v>328</v>
      </c>
      <c r="F740" t="s">
        <v>28</v>
      </c>
      <c r="G740" t="s">
        <v>29</v>
      </c>
      <c r="H740" t="s">
        <v>60</v>
      </c>
      <c r="I740" t="s">
        <v>78</v>
      </c>
      <c r="J740" t="s">
        <v>531</v>
      </c>
      <c r="K740" t="s">
        <v>33</v>
      </c>
      <c r="L740" t="s">
        <v>73</v>
      </c>
      <c r="M740" t="s">
        <v>74</v>
      </c>
      <c r="N740" t="s">
        <v>44</v>
      </c>
      <c r="O740" s="3">
        <v>677.3</v>
      </c>
      <c r="P740">
        <v>5</v>
      </c>
      <c r="Q740" s="4">
        <v>0.2</v>
      </c>
      <c r="R740" s="3">
        <v>2709.2000000000003</v>
      </c>
      <c r="S740" s="3">
        <v>424.46</v>
      </c>
      <c r="T740" s="3">
        <v>2122.2999999999997</v>
      </c>
      <c r="U740" s="3">
        <v>586.90000000000055</v>
      </c>
      <c r="V740" s="5">
        <v>0.21663221615236988</v>
      </c>
      <c r="W740">
        <v>2</v>
      </c>
      <c r="X740" t="s">
        <v>37</v>
      </c>
      <c r="Y740" s="6">
        <v>4</v>
      </c>
    </row>
    <row r="741" spans="1:25">
      <c r="A741" t="s">
        <v>1129</v>
      </c>
      <c r="B741" s="2">
        <v>45816</v>
      </c>
      <c r="C741">
        <v>2025</v>
      </c>
      <c r="D741" t="s">
        <v>229</v>
      </c>
      <c r="E741" t="s">
        <v>328</v>
      </c>
      <c r="F741" t="s">
        <v>28</v>
      </c>
      <c r="G741" t="s">
        <v>29</v>
      </c>
      <c r="H741" t="s">
        <v>30</v>
      </c>
      <c r="I741" t="s">
        <v>78</v>
      </c>
      <c r="J741" t="s">
        <v>99</v>
      </c>
      <c r="K741" t="s">
        <v>47</v>
      </c>
      <c r="L741" t="s">
        <v>48</v>
      </c>
      <c r="M741" t="s">
        <v>49</v>
      </c>
      <c r="N741" t="s">
        <v>57</v>
      </c>
      <c r="O741" s="3">
        <v>30.94</v>
      </c>
      <c r="P741">
        <v>9</v>
      </c>
      <c r="Q741" s="4">
        <v>0</v>
      </c>
      <c r="R741" s="3">
        <v>278.46000000000004</v>
      </c>
      <c r="S741" s="3">
        <v>13.74</v>
      </c>
      <c r="T741" s="3">
        <v>123.66</v>
      </c>
      <c r="U741" s="3">
        <v>154.80000000000004</v>
      </c>
      <c r="V741" s="5">
        <v>0.55591467356173241</v>
      </c>
      <c r="W741">
        <v>3</v>
      </c>
      <c r="X741" t="s">
        <v>37</v>
      </c>
      <c r="Y741" s="6">
        <v>5</v>
      </c>
    </row>
    <row r="742" spans="1:25">
      <c r="A742" t="s">
        <v>1130</v>
      </c>
      <c r="B742" s="2">
        <v>45819</v>
      </c>
      <c r="C742">
        <v>2025</v>
      </c>
      <c r="D742" t="s">
        <v>229</v>
      </c>
      <c r="E742" t="s">
        <v>328</v>
      </c>
      <c r="F742" t="s">
        <v>28</v>
      </c>
      <c r="G742" t="s">
        <v>29</v>
      </c>
      <c r="H742" t="s">
        <v>60</v>
      </c>
      <c r="I742" t="s">
        <v>31</v>
      </c>
      <c r="J742" t="s">
        <v>148</v>
      </c>
      <c r="K742" t="s">
        <v>33</v>
      </c>
      <c r="L742" t="s">
        <v>88</v>
      </c>
      <c r="M742" t="s">
        <v>100</v>
      </c>
      <c r="N742" t="s">
        <v>57</v>
      </c>
      <c r="O742" s="3">
        <v>296.52</v>
      </c>
      <c r="P742">
        <v>3</v>
      </c>
      <c r="Q742" s="4">
        <v>0</v>
      </c>
      <c r="R742" s="3">
        <v>889.56</v>
      </c>
      <c r="S742" s="3">
        <v>159.04</v>
      </c>
      <c r="T742" s="3">
        <v>477.12</v>
      </c>
      <c r="U742" s="3">
        <v>412.43999999999994</v>
      </c>
      <c r="V742" s="5">
        <v>0.46364494806421147</v>
      </c>
      <c r="W742">
        <v>5</v>
      </c>
      <c r="X742" t="s">
        <v>37</v>
      </c>
      <c r="Y742" s="6">
        <v>4</v>
      </c>
    </row>
    <row r="743" spans="1:25">
      <c r="A743" t="s">
        <v>1131</v>
      </c>
      <c r="B743" s="2">
        <v>45819</v>
      </c>
      <c r="C743">
        <v>2025</v>
      </c>
      <c r="D743" t="s">
        <v>229</v>
      </c>
      <c r="E743" t="s">
        <v>328</v>
      </c>
      <c r="F743" t="s">
        <v>65</v>
      </c>
      <c r="G743" t="s">
        <v>76</v>
      </c>
      <c r="H743" t="s">
        <v>77</v>
      </c>
      <c r="I743" t="s">
        <v>31</v>
      </c>
      <c r="J743" t="s">
        <v>1021</v>
      </c>
      <c r="K743" t="s">
        <v>47</v>
      </c>
      <c r="L743" t="s">
        <v>55</v>
      </c>
      <c r="M743" t="s">
        <v>56</v>
      </c>
      <c r="N743" t="s">
        <v>57</v>
      </c>
      <c r="O743" s="3">
        <v>37.47</v>
      </c>
      <c r="P743">
        <v>9</v>
      </c>
      <c r="Q743" s="4">
        <v>0</v>
      </c>
      <c r="R743" s="3">
        <v>337.23</v>
      </c>
      <c r="S743" s="3">
        <v>17.309999999999999</v>
      </c>
      <c r="T743" s="3">
        <v>155.79</v>
      </c>
      <c r="U743" s="3">
        <v>181.44000000000003</v>
      </c>
      <c r="V743" s="5">
        <v>0.53803042433947168</v>
      </c>
      <c r="W743">
        <v>2</v>
      </c>
      <c r="X743" t="s">
        <v>37</v>
      </c>
      <c r="Y743" s="6">
        <v>4</v>
      </c>
    </row>
    <row r="744" spans="1:25">
      <c r="A744" t="s">
        <v>1132</v>
      </c>
      <c r="B744" s="2">
        <v>45820</v>
      </c>
      <c r="C744">
        <v>2025</v>
      </c>
      <c r="D744" t="s">
        <v>229</v>
      </c>
      <c r="E744" t="s">
        <v>328</v>
      </c>
      <c r="F744" t="s">
        <v>65</v>
      </c>
      <c r="G744" t="s">
        <v>66</v>
      </c>
      <c r="H744" t="s">
        <v>67</v>
      </c>
      <c r="I744" t="s">
        <v>31</v>
      </c>
      <c r="J744" t="s">
        <v>452</v>
      </c>
      <c r="K744" t="s">
        <v>61</v>
      </c>
      <c r="L744" t="s">
        <v>80</v>
      </c>
      <c r="M744" t="s">
        <v>187</v>
      </c>
      <c r="N744" t="s">
        <v>36</v>
      </c>
      <c r="O744" s="3">
        <v>1335.38</v>
      </c>
      <c r="P744">
        <v>2</v>
      </c>
      <c r="Q744" s="4">
        <v>0.2</v>
      </c>
      <c r="R744" s="3">
        <v>2136.6080000000002</v>
      </c>
      <c r="S744" s="3">
        <v>875.09</v>
      </c>
      <c r="T744" s="3">
        <v>1750.18</v>
      </c>
      <c r="U744" s="3">
        <v>386.42800000000011</v>
      </c>
      <c r="V744" s="5">
        <v>0.18086050412616636</v>
      </c>
      <c r="W744">
        <v>5</v>
      </c>
      <c r="X744" t="s">
        <v>37</v>
      </c>
      <c r="Y744" s="6">
        <v>4</v>
      </c>
    </row>
    <row r="745" spans="1:25">
      <c r="A745" t="s">
        <v>1133</v>
      </c>
      <c r="B745" s="2">
        <v>45820</v>
      </c>
      <c r="C745">
        <v>2025</v>
      </c>
      <c r="D745" t="s">
        <v>229</v>
      </c>
      <c r="E745" t="s">
        <v>328</v>
      </c>
      <c r="F745" t="s">
        <v>51</v>
      </c>
      <c r="G745" t="s">
        <v>52</v>
      </c>
      <c r="H745" t="s">
        <v>102</v>
      </c>
      <c r="I745" t="s">
        <v>71</v>
      </c>
      <c r="J745" t="s">
        <v>431</v>
      </c>
      <c r="K745" t="s">
        <v>47</v>
      </c>
      <c r="L745" t="s">
        <v>114</v>
      </c>
      <c r="M745" t="s">
        <v>120</v>
      </c>
      <c r="N745" t="s">
        <v>44</v>
      </c>
      <c r="O745" s="3">
        <v>26.84</v>
      </c>
      <c r="P745">
        <v>11</v>
      </c>
      <c r="Q745" s="4">
        <v>0.05</v>
      </c>
      <c r="R745" s="3">
        <v>280.47800000000001</v>
      </c>
      <c r="S745" s="3">
        <v>11.05</v>
      </c>
      <c r="T745" s="3">
        <v>121.55000000000001</v>
      </c>
      <c r="U745" s="3">
        <v>158.928</v>
      </c>
      <c r="V745" s="5">
        <v>0.56663267707271159</v>
      </c>
      <c r="W745">
        <v>8</v>
      </c>
      <c r="X745" t="s">
        <v>37</v>
      </c>
      <c r="Y745" s="6">
        <v>4</v>
      </c>
    </row>
    <row r="746" spans="1:25">
      <c r="A746" t="s">
        <v>1134</v>
      </c>
      <c r="B746" s="2">
        <v>45822</v>
      </c>
      <c r="C746">
        <v>2025</v>
      </c>
      <c r="D746" t="s">
        <v>229</v>
      </c>
      <c r="E746" t="s">
        <v>328</v>
      </c>
      <c r="F746" t="s">
        <v>39</v>
      </c>
      <c r="G746" t="s">
        <v>111</v>
      </c>
      <c r="H746" t="s">
        <v>112</v>
      </c>
      <c r="I746" t="s">
        <v>71</v>
      </c>
      <c r="J746" t="s">
        <v>79</v>
      </c>
      <c r="K746" t="s">
        <v>61</v>
      </c>
      <c r="L746" t="s">
        <v>80</v>
      </c>
      <c r="M746" t="s">
        <v>81</v>
      </c>
      <c r="N746" t="s">
        <v>57</v>
      </c>
      <c r="O746" s="3">
        <v>1014.91</v>
      </c>
      <c r="P746">
        <v>4</v>
      </c>
      <c r="Q746" s="4">
        <v>0.1</v>
      </c>
      <c r="R746" s="3">
        <v>3653.6759999999999</v>
      </c>
      <c r="S746" s="3">
        <v>671.59</v>
      </c>
      <c r="T746" s="3">
        <v>2686.36</v>
      </c>
      <c r="U746" s="3">
        <v>967.3159999999998</v>
      </c>
      <c r="V746" s="5">
        <v>0.26475144484623153</v>
      </c>
      <c r="W746">
        <v>1</v>
      </c>
      <c r="X746" t="s">
        <v>37</v>
      </c>
      <c r="Y746" s="6">
        <v>5</v>
      </c>
    </row>
    <row r="747" spans="1:25">
      <c r="A747" t="s">
        <v>1135</v>
      </c>
      <c r="B747" s="2">
        <v>45822</v>
      </c>
      <c r="C747">
        <v>2025</v>
      </c>
      <c r="D747" t="s">
        <v>229</v>
      </c>
      <c r="E747" t="s">
        <v>328</v>
      </c>
      <c r="F747" t="s">
        <v>51</v>
      </c>
      <c r="G747" t="s">
        <v>97</v>
      </c>
      <c r="H747" t="s">
        <v>98</v>
      </c>
      <c r="I747" t="s">
        <v>42</v>
      </c>
      <c r="J747" t="s">
        <v>954</v>
      </c>
      <c r="K747" t="s">
        <v>47</v>
      </c>
      <c r="L747" t="s">
        <v>55</v>
      </c>
      <c r="M747" t="s">
        <v>69</v>
      </c>
      <c r="N747" t="s">
        <v>57</v>
      </c>
      <c r="O747" s="3">
        <v>42.17</v>
      </c>
      <c r="P747">
        <v>12</v>
      </c>
      <c r="Q747" s="4">
        <v>0</v>
      </c>
      <c r="R747" s="3">
        <v>506.04</v>
      </c>
      <c r="S747" s="3">
        <v>21.73</v>
      </c>
      <c r="T747" s="3">
        <v>260.76</v>
      </c>
      <c r="U747" s="3">
        <v>245.28000000000003</v>
      </c>
      <c r="V747" s="5">
        <v>0.4847047664216268</v>
      </c>
      <c r="W747">
        <v>1</v>
      </c>
      <c r="X747" t="s">
        <v>37</v>
      </c>
      <c r="Y747" s="6">
        <v>5</v>
      </c>
    </row>
    <row r="748" spans="1:25">
      <c r="A748" t="s">
        <v>1136</v>
      </c>
      <c r="B748" s="2">
        <v>45823</v>
      </c>
      <c r="C748">
        <v>2025</v>
      </c>
      <c r="D748" t="s">
        <v>229</v>
      </c>
      <c r="E748" t="s">
        <v>328</v>
      </c>
      <c r="F748" t="s">
        <v>39</v>
      </c>
      <c r="G748" t="s">
        <v>91</v>
      </c>
      <c r="H748" t="s">
        <v>92</v>
      </c>
      <c r="I748" t="s">
        <v>78</v>
      </c>
      <c r="J748" t="s">
        <v>173</v>
      </c>
      <c r="K748" t="s">
        <v>47</v>
      </c>
      <c r="L748" t="s">
        <v>55</v>
      </c>
      <c r="M748" t="s">
        <v>69</v>
      </c>
      <c r="N748" t="s">
        <v>57</v>
      </c>
      <c r="O748" s="3">
        <v>44.96</v>
      </c>
      <c r="P748">
        <v>2</v>
      </c>
      <c r="Q748" s="4">
        <v>0</v>
      </c>
      <c r="R748" s="3">
        <v>89.92</v>
      </c>
      <c r="S748" s="3">
        <v>21.88</v>
      </c>
      <c r="T748" s="3">
        <v>43.76</v>
      </c>
      <c r="U748" s="3">
        <v>46.160000000000004</v>
      </c>
      <c r="V748" s="5">
        <v>0.51334519572953741</v>
      </c>
      <c r="W748">
        <v>4</v>
      </c>
      <c r="X748" t="s">
        <v>58</v>
      </c>
      <c r="Y748" s="6">
        <v>3</v>
      </c>
    </row>
    <row r="749" spans="1:25">
      <c r="A749" t="s">
        <v>1137</v>
      </c>
      <c r="B749" s="2">
        <v>45827</v>
      </c>
      <c r="C749">
        <v>2025</v>
      </c>
      <c r="D749" t="s">
        <v>229</v>
      </c>
      <c r="E749" t="s">
        <v>328</v>
      </c>
      <c r="F749" t="s">
        <v>28</v>
      </c>
      <c r="G749" t="s">
        <v>29</v>
      </c>
      <c r="H749" t="s">
        <v>60</v>
      </c>
      <c r="I749" t="s">
        <v>31</v>
      </c>
      <c r="J749" t="s">
        <v>504</v>
      </c>
      <c r="K749" t="s">
        <v>61</v>
      </c>
      <c r="L749" t="s">
        <v>62</v>
      </c>
      <c r="M749" t="s">
        <v>195</v>
      </c>
      <c r="N749" t="s">
        <v>57</v>
      </c>
      <c r="O749" s="3">
        <v>78.12</v>
      </c>
      <c r="P749">
        <v>3</v>
      </c>
      <c r="Q749" s="4">
        <v>0</v>
      </c>
      <c r="R749" s="3">
        <v>234.36</v>
      </c>
      <c r="S749" s="3">
        <v>32.090000000000003</v>
      </c>
      <c r="T749" s="3">
        <v>96.27000000000001</v>
      </c>
      <c r="U749" s="3">
        <v>138.09</v>
      </c>
      <c r="V749" s="5">
        <v>0.58922171018945213</v>
      </c>
      <c r="W749">
        <v>3</v>
      </c>
      <c r="X749" t="s">
        <v>37</v>
      </c>
      <c r="Y749" s="6">
        <v>4</v>
      </c>
    </row>
    <row r="750" spans="1:25">
      <c r="A750" t="s">
        <v>1138</v>
      </c>
      <c r="B750" s="2">
        <v>45827</v>
      </c>
      <c r="C750">
        <v>2025</v>
      </c>
      <c r="D750" t="s">
        <v>229</v>
      </c>
      <c r="E750" t="s">
        <v>328</v>
      </c>
      <c r="F750" t="s">
        <v>39</v>
      </c>
      <c r="G750" t="s">
        <v>111</v>
      </c>
      <c r="H750" t="s">
        <v>112</v>
      </c>
      <c r="I750" t="s">
        <v>71</v>
      </c>
      <c r="J750" t="s">
        <v>454</v>
      </c>
      <c r="K750" t="s">
        <v>61</v>
      </c>
      <c r="L750" t="s">
        <v>84</v>
      </c>
      <c r="M750" t="s">
        <v>135</v>
      </c>
      <c r="N750" t="s">
        <v>36</v>
      </c>
      <c r="O750" s="3">
        <v>918.16</v>
      </c>
      <c r="P750">
        <v>3</v>
      </c>
      <c r="Q750" s="4">
        <v>0.2</v>
      </c>
      <c r="R750" s="3">
        <v>2203.5840000000003</v>
      </c>
      <c r="S750" s="3">
        <v>557.30999999999995</v>
      </c>
      <c r="T750" s="3">
        <v>1671.9299999999998</v>
      </c>
      <c r="U750" s="3">
        <v>531.65400000000045</v>
      </c>
      <c r="V750" s="5">
        <v>0.24126786181057785</v>
      </c>
      <c r="W750">
        <v>6</v>
      </c>
      <c r="X750" t="s">
        <v>37</v>
      </c>
      <c r="Y750" s="6">
        <v>4</v>
      </c>
    </row>
    <row r="751" spans="1:25">
      <c r="A751" t="s">
        <v>1139</v>
      </c>
      <c r="B751" s="2">
        <v>45828</v>
      </c>
      <c r="C751">
        <v>2025</v>
      </c>
      <c r="D751" t="s">
        <v>229</v>
      </c>
      <c r="E751" t="s">
        <v>328</v>
      </c>
      <c r="F751" t="s">
        <v>39</v>
      </c>
      <c r="G751" t="s">
        <v>91</v>
      </c>
      <c r="H751" t="s">
        <v>92</v>
      </c>
      <c r="I751" t="s">
        <v>71</v>
      </c>
      <c r="J751" t="s">
        <v>311</v>
      </c>
      <c r="K751" t="s">
        <v>33</v>
      </c>
      <c r="L751" t="s">
        <v>73</v>
      </c>
      <c r="M751" t="s">
        <v>74</v>
      </c>
      <c r="N751" t="s">
        <v>44</v>
      </c>
      <c r="O751" s="3">
        <v>717.88</v>
      </c>
      <c r="P751">
        <v>3</v>
      </c>
      <c r="Q751" s="4">
        <v>0.2</v>
      </c>
      <c r="R751" s="3">
        <v>1722.912</v>
      </c>
      <c r="S751" s="3">
        <v>408.67</v>
      </c>
      <c r="T751" s="3">
        <v>1226.01</v>
      </c>
      <c r="U751" s="3">
        <v>496.90200000000004</v>
      </c>
      <c r="V751" s="5">
        <v>0.28840822978770825</v>
      </c>
      <c r="W751">
        <v>3</v>
      </c>
      <c r="X751" t="s">
        <v>37</v>
      </c>
      <c r="Y751" s="6">
        <v>5</v>
      </c>
    </row>
    <row r="752" spans="1:25">
      <c r="A752" t="s">
        <v>1140</v>
      </c>
      <c r="B752" s="2">
        <v>45828</v>
      </c>
      <c r="C752">
        <v>2025</v>
      </c>
      <c r="D752" t="s">
        <v>229</v>
      </c>
      <c r="E752" t="s">
        <v>328</v>
      </c>
      <c r="F752" t="s">
        <v>51</v>
      </c>
      <c r="G752" t="s">
        <v>97</v>
      </c>
      <c r="H752" t="s">
        <v>98</v>
      </c>
      <c r="I752" t="s">
        <v>71</v>
      </c>
      <c r="J752" t="s">
        <v>704</v>
      </c>
      <c r="K752" t="s">
        <v>47</v>
      </c>
      <c r="L752" t="s">
        <v>48</v>
      </c>
      <c r="M752" t="s">
        <v>49</v>
      </c>
      <c r="N752" t="s">
        <v>44</v>
      </c>
      <c r="O752" s="3">
        <v>30.85</v>
      </c>
      <c r="P752">
        <v>1</v>
      </c>
      <c r="Q752" s="4">
        <v>0.1</v>
      </c>
      <c r="R752" s="3">
        <v>27.765000000000001</v>
      </c>
      <c r="S752" s="3">
        <v>13.83</v>
      </c>
      <c r="T752" s="3">
        <v>13.83</v>
      </c>
      <c r="U752" s="3">
        <v>13.935</v>
      </c>
      <c r="V752" s="5">
        <v>0.50189086980010811</v>
      </c>
      <c r="W752">
        <v>6</v>
      </c>
      <c r="X752" t="s">
        <v>37</v>
      </c>
      <c r="Y752" s="6">
        <v>5</v>
      </c>
    </row>
    <row r="753" spans="1:25">
      <c r="A753" t="s">
        <v>1141</v>
      </c>
      <c r="B753" s="2">
        <v>45828</v>
      </c>
      <c r="C753">
        <v>2025</v>
      </c>
      <c r="D753" t="s">
        <v>229</v>
      </c>
      <c r="E753" t="s">
        <v>328</v>
      </c>
      <c r="F753" t="s">
        <v>51</v>
      </c>
      <c r="G753" t="s">
        <v>52</v>
      </c>
      <c r="H753" t="s">
        <v>53</v>
      </c>
      <c r="I753" t="s">
        <v>78</v>
      </c>
      <c r="J753" t="s">
        <v>1142</v>
      </c>
      <c r="K753" t="s">
        <v>61</v>
      </c>
      <c r="L753" t="s">
        <v>80</v>
      </c>
      <c r="M753" t="s">
        <v>187</v>
      </c>
      <c r="N753" t="s">
        <v>57</v>
      </c>
      <c r="O753" s="3">
        <v>1313.24</v>
      </c>
      <c r="P753">
        <v>5</v>
      </c>
      <c r="Q753" s="4">
        <v>0</v>
      </c>
      <c r="R753" s="3">
        <v>6566.2</v>
      </c>
      <c r="S753" s="3">
        <v>849.94</v>
      </c>
      <c r="T753" s="3">
        <v>4249.7000000000007</v>
      </c>
      <c r="U753" s="3">
        <v>2316.4999999999991</v>
      </c>
      <c r="V753" s="5">
        <v>0.35279156894398572</v>
      </c>
      <c r="W753">
        <v>9</v>
      </c>
      <c r="X753" t="s">
        <v>37</v>
      </c>
      <c r="Y753" s="6">
        <v>3</v>
      </c>
    </row>
    <row r="754" spans="1:25">
      <c r="A754" t="s">
        <v>1143</v>
      </c>
      <c r="B754" s="2">
        <v>45831</v>
      </c>
      <c r="C754">
        <v>2025</v>
      </c>
      <c r="D754" t="s">
        <v>229</v>
      </c>
      <c r="E754" t="s">
        <v>328</v>
      </c>
      <c r="F754" t="s">
        <v>39</v>
      </c>
      <c r="G754" t="s">
        <v>40</v>
      </c>
      <c r="H754" t="s">
        <v>41</v>
      </c>
      <c r="I754" t="s">
        <v>71</v>
      </c>
      <c r="J754" t="s">
        <v>1113</v>
      </c>
      <c r="K754" t="s">
        <v>47</v>
      </c>
      <c r="L754" t="s">
        <v>55</v>
      </c>
      <c r="M754" t="s">
        <v>69</v>
      </c>
      <c r="N754" t="s">
        <v>57</v>
      </c>
      <c r="O754" s="3">
        <v>42.29</v>
      </c>
      <c r="P754">
        <v>1</v>
      </c>
      <c r="Q754" s="4">
        <v>0</v>
      </c>
      <c r="R754" s="3">
        <v>42.29</v>
      </c>
      <c r="S754" s="3">
        <v>21.65</v>
      </c>
      <c r="T754" s="3">
        <v>21.65</v>
      </c>
      <c r="U754" s="3">
        <v>20.64</v>
      </c>
      <c r="V754" s="5">
        <v>0.48805864270513127</v>
      </c>
      <c r="W754">
        <v>1</v>
      </c>
      <c r="X754" t="s">
        <v>58</v>
      </c>
      <c r="Y754" s="6">
        <v>4</v>
      </c>
    </row>
    <row r="755" spans="1:25">
      <c r="A755" t="s">
        <v>1144</v>
      </c>
      <c r="B755" s="2">
        <v>45832</v>
      </c>
      <c r="C755">
        <v>2025</v>
      </c>
      <c r="D755" t="s">
        <v>229</v>
      </c>
      <c r="E755" t="s">
        <v>328</v>
      </c>
      <c r="F755" t="s">
        <v>65</v>
      </c>
      <c r="G755" t="s">
        <v>76</v>
      </c>
      <c r="H755" t="s">
        <v>77</v>
      </c>
      <c r="I755" t="s">
        <v>31</v>
      </c>
      <c r="J755" t="s">
        <v>531</v>
      </c>
      <c r="K755" t="s">
        <v>47</v>
      </c>
      <c r="L755" t="s">
        <v>48</v>
      </c>
      <c r="M755" t="s">
        <v>104</v>
      </c>
      <c r="N755" t="s">
        <v>57</v>
      </c>
      <c r="O755" s="3">
        <v>56.58</v>
      </c>
      <c r="P755">
        <v>6</v>
      </c>
      <c r="Q755" s="4">
        <v>0</v>
      </c>
      <c r="R755" s="3">
        <v>339.48</v>
      </c>
      <c r="S755" s="3">
        <v>31.06</v>
      </c>
      <c r="T755" s="3">
        <v>186.35999999999999</v>
      </c>
      <c r="U755" s="3">
        <v>153.12000000000003</v>
      </c>
      <c r="V755" s="5">
        <v>0.45104277129727827</v>
      </c>
      <c r="W755">
        <v>7</v>
      </c>
      <c r="X755" t="s">
        <v>37</v>
      </c>
      <c r="Y755" s="6">
        <v>4</v>
      </c>
    </row>
    <row r="756" spans="1:25">
      <c r="A756" t="s">
        <v>1145</v>
      </c>
      <c r="B756" s="2">
        <v>45834</v>
      </c>
      <c r="C756">
        <v>2025</v>
      </c>
      <c r="D756" t="s">
        <v>229</v>
      </c>
      <c r="E756" t="s">
        <v>328</v>
      </c>
      <c r="F756" t="s">
        <v>28</v>
      </c>
      <c r="G756" t="s">
        <v>29</v>
      </c>
      <c r="H756" t="s">
        <v>60</v>
      </c>
      <c r="I756" t="s">
        <v>42</v>
      </c>
      <c r="J756" t="s">
        <v>313</v>
      </c>
      <c r="K756" t="s">
        <v>47</v>
      </c>
      <c r="L756" t="s">
        <v>55</v>
      </c>
      <c r="M756" t="s">
        <v>56</v>
      </c>
      <c r="N756" t="s">
        <v>57</v>
      </c>
      <c r="O756" s="3">
        <v>40.72</v>
      </c>
      <c r="P756">
        <v>9</v>
      </c>
      <c r="Q756" s="4">
        <v>0.15</v>
      </c>
      <c r="R756" s="3">
        <v>311.50799999999998</v>
      </c>
      <c r="S756" s="3">
        <v>17.149999999999999</v>
      </c>
      <c r="T756" s="3">
        <v>154.35</v>
      </c>
      <c r="U756" s="3">
        <v>157.15799999999999</v>
      </c>
      <c r="V756" s="5">
        <v>0.50450710736160864</v>
      </c>
      <c r="W756">
        <v>6</v>
      </c>
      <c r="X756" t="s">
        <v>37</v>
      </c>
      <c r="Y756" s="6">
        <v>4</v>
      </c>
    </row>
    <row r="757" spans="1:25">
      <c r="A757" t="s">
        <v>1146</v>
      </c>
      <c r="B757" s="2">
        <v>45834</v>
      </c>
      <c r="C757">
        <v>2025</v>
      </c>
      <c r="D757" t="s">
        <v>229</v>
      </c>
      <c r="E757" t="s">
        <v>328</v>
      </c>
      <c r="F757" t="s">
        <v>65</v>
      </c>
      <c r="G757" t="s">
        <v>76</v>
      </c>
      <c r="H757" t="s">
        <v>77</v>
      </c>
      <c r="I757" t="s">
        <v>42</v>
      </c>
      <c r="J757" t="s">
        <v>1072</v>
      </c>
      <c r="K757" t="s">
        <v>47</v>
      </c>
      <c r="L757" t="s">
        <v>114</v>
      </c>
      <c r="M757" t="s">
        <v>115</v>
      </c>
      <c r="N757" t="s">
        <v>57</v>
      </c>
      <c r="O757" s="3">
        <v>18.07</v>
      </c>
      <c r="P757">
        <v>11</v>
      </c>
      <c r="Q757" s="4">
        <v>0.15</v>
      </c>
      <c r="R757" s="3">
        <v>168.9545</v>
      </c>
      <c r="S757" s="3">
        <v>7.18</v>
      </c>
      <c r="T757" s="3">
        <v>78.97999999999999</v>
      </c>
      <c r="U757" s="3">
        <v>89.974500000000006</v>
      </c>
      <c r="V757" s="5">
        <v>0.5325368664344543</v>
      </c>
      <c r="W757">
        <v>4</v>
      </c>
      <c r="X757" t="s">
        <v>37</v>
      </c>
      <c r="Y757" s="6">
        <v>4</v>
      </c>
    </row>
    <row r="758" spans="1:25">
      <c r="A758" t="s">
        <v>1147</v>
      </c>
      <c r="B758" s="2">
        <v>45835</v>
      </c>
      <c r="C758">
        <v>2025</v>
      </c>
      <c r="D758" t="s">
        <v>229</v>
      </c>
      <c r="E758" t="s">
        <v>328</v>
      </c>
      <c r="F758" t="s">
        <v>39</v>
      </c>
      <c r="G758" t="s">
        <v>40</v>
      </c>
      <c r="H758" t="s">
        <v>41</v>
      </c>
      <c r="I758" t="s">
        <v>42</v>
      </c>
      <c r="J758" t="s">
        <v>335</v>
      </c>
      <c r="K758" t="s">
        <v>33</v>
      </c>
      <c r="L758" t="s">
        <v>73</v>
      </c>
      <c r="M758" t="s">
        <v>74</v>
      </c>
      <c r="N758" t="s">
        <v>57</v>
      </c>
      <c r="O758" s="3">
        <v>707.48</v>
      </c>
      <c r="P758">
        <v>1</v>
      </c>
      <c r="Q758" s="4">
        <v>0</v>
      </c>
      <c r="R758" s="3">
        <v>707.48</v>
      </c>
      <c r="S758" s="3">
        <v>416.32</v>
      </c>
      <c r="T758" s="3">
        <v>416.32</v>
      </c>
      <c r="U758" s="3">
        <v>291.16000000000003</v>
      </c>
      <c r="V758" s="5">
        <v>0.41154520269124217</v>
      </c>
      <c r="W758">
        <v>2</v>
      </c>
      <c r="X758" t="s">
        <v>37</v>
      </c>
      <c r="Y758" s="6">
        <v>5</v>
      </c>
    </row>
    <row r="759" spans="1:25">
      <c r="A759" t="s">
        <v>1148</v>
      </c>
      <c r="B759" s="2">
        <v>45835</v>
      </c>
      <c r="C759">
        <v>2025</v>
      </c>
      <c r="D759" t="s">
        <v>229</v>
      </c>
      <c r="E759" t="s">
        <v>328</v>
      </c>
      <c r="F759" t="s">
        <v>39</v>
      </c>
      <c r="G759" t="s">
        <v>91</v>
      </c>
      <c r="H759" t="s">
        <v>92</v>
      </c>
      <c r="I759" t="s">
        <v>31</v>
      </c>
      <c r="J759" t="s">
        <v>566</v>
      </c>
      <c r="K759" t="s">
        <v>33</v>
      </c>
      <c r="L759" t="s">
        <v>88</v>
      </c>
      <c r="M759" t="s">
        <v>89</v>
      </c>
      <c r="N759" t="s">
        <v>44</v>
      </c>
      <c r="O759" s="3">
        <v>259.25</v>
      </c>
      <c r="P759">
        <v>4</v>
      </c>
      <c r="Q759" s="4">
        <v>0.05</v>
      </c>
      <c r="R759" s="3">
        <v>985.15</v>
      </c>
      <c r="S759" s="3">
        <v>127.51</v>
      </c>
      <c r="T759" s="3">
        <v>510.04</v>
      </c>
      <c r="U759" s="3">
        <v>475.10999999999996</v>
      </c>
      <c r="V759" s="5">
        <v>0.48227173526874079</v>
      </c>
      <c r="W759">
        <v>4</v>
      </c>
      <c r="X759" t="s">
        <v>37</v>
      </c>
      <c r="Y759" s="6">
        <v>5</v>
      </c>
    </row>
    <row r="760" spans="1:25">
      <c r="A760" t="s">
        <v>1149</v>
      </c>
      <c r="B760" s="2">
        <v>45836</v>
      </c>
      <c r="C760">
        <v>2025</v>
      </c>
      <c r="D760" t="s">
        <v>229</v>
      </c>
      <c r="E760" t="s">
        <v>328</v>
      </c>
      <c r="F760" t="s">
        <v>28</v>
      </c>
      <c r="G760" t="s">
        <v>29</v>
      </c>
      <c r="H760" t="s">
        <v>60</v>
      </c>
      <c r="I760" t="s">
        <v>78</v>
      </c>
      <c r="J760" t="s">
        <v>239</v>
      </c>
      <c r="K760" t="s">
        <v>47</v>
      </c>
      <c r="L760" t="s">
        <v>48</v>
      </c>
      <c r="M760" t="s">
        <v>104</v>
      </c>
      <c r="N760" t="s">
        <v>57</v>
      </c>
      <c r="O760" s="3">
        <v>52.26</v>
      </c>
      <c r="P760">
        <v>4</v>
      </c>
      <c r="Q760" s="4">
        <v>0</v>
      </c>
      <c r="R760" s="3">
        <v>209.04</v>
      </c>
      <c r="S760" s="3">
        <v>30.62</v>
      </c>
      <c r="T760" s="3">
        <v>122.48</v>
      </c>
      <c r="U760" s="3">
        <v>86.559999999999988</v>
      </c>
      <c r="V760" s="5">
        <v>0.41408342900880213</v>
      </c>
      <c r="W760">
        <v>4</v>
      </c>
      <c r="X760" t="s">
        <v>37</v>
      </c>
      <c r="Y760" s="6">
        <v>5</v>
      </c>
    </row>
    <row r="761" spans="1:25">
      <c r="A761" t="s">
        <v>1150</v>
      </c>
      <c r="B761" s="2">
        <v>45837</v>
      </c>
      <c r="C761">
        <v>2025</v>
      </c>
      <c r="D761" t="s">
        <v>229</v>
      </c>
      <c r="E761" t="s">
        <v>328</v>
      </c>
      <c r="F761" t="s">
        <v>39</v>
      </c>
      <c r="G761" t="s">
        <v>91</v>
      </c>
      <c r="H761" t="s">
        <v>92</v>
      </c>
      <c r="I761" t="s">
        <v>42</v>
      </c>
      <c r="J761" t="s">
        <v>413</v>
      </c>
      <c r="K761" t="s">
        <v>61</v>
      </c>
      <c r="L761" t="s">
        <v>80</v>
      </c>
      <c r="M761" t="s">
        <v>187</v>
      </c>
      <c r="N761" t="s">
        <v>36</v>
      </c>
      <c r="O761" s="3">
        <v>1346.27</v>
      </c>
      <c r="P761">
        <v>1</v>
      </c>
      <c r="Q761" s="4">
        <v>0.15</v>
      </c>
      <c r="R761" s="3">
        <v>1144.3295000000001</v>
      </c>
      <c r="S761" s="3">
        <v>871.17</v>
      </c>
      <c r="T761" s="3">
        <v>871.17</v>
      </c>
      <c r="U761" s="3">
        <v>273.15950000000009</v>
      </c>
      <c r="V761" s="5">
        <v>0.23870703324523232</v>
      </c>
      <c r="W761">
        <v>5</v>
      </c>
      <c r="X761" t="s">
        <v>37</v>
      </c>
      <c r="Y761" s="6">
        <v>4</v>
      </c>
    </row>
    <row r="762" spans="1:25">
      <c r="A762" t="s">
        <v>1151</v>
      </c>
      <c r="B762" s="2">
        <v>45837</v>
      </c>
      <c r="C762">
        <v>2025</v>
      </c>
      <c r="D762" t="s">
        <v>229</v>
      </c>
      <c r="E762" t="s">
        <v>328</v>
      </c>
      <c r="F762" t="s">
        <v>51</v>
      </c>
      <c r="G762" t="s">
        <v>97</v>
      </c>
      <c r="H762" t="s">
        <v>98</v>
      </c>
      <c r="I762" t="s">
        <v>42</v>
      </c>
      <c r="J762" t="s">
        <v>387</v>
      </c>
      <c r="K762" t="s">
        <v>61</v>
      </c>
      <c r="L762" t="s">
        <v>84</v>
      </c>
      <c r="M762" t="s">
        <v>135</v>
      </c>
      <c r="N762" t="s">
        <v>36</v>
      </c>
      <c r="O762" s="3">
        <v>905.9</v>
      </c>
      <c r="P762">
        <v>5</v>
      </c>
      <c r="Q762" s="4">
        <v>0.05</v>
      </c>
      <c r="R762" s="3">
        <v>4303.0249999999996</v>
      </c>
      <c r="S762" s="3">
        <v>557.77</v>
      </c>
      <c r="T762" s="3">
        <v>2788.85</v>
      </c>
      <c r="U762" s="3">
        <v>1514.1749999999997</v>
      </c>
      <c r="V762" s="5">
        <v>0.35188617309915693</v>
      </c>
      <c r="W762">
        <v>2</v>
      </c>
      <c r="X762" t="s">
        <v>37</v>
      </c>
      <c r="Y762" s="6">
        <v>4</v>
      </c>
    </row>
    <row r="763" spans="1:25">
      <c r="A763" t="s">
        <v>1152</v>
      </c>
      <c r="B763" s="2">
        <v>45840</v>
      </c>
      <c r="C763">
        <v>2025</v>
      </c>
      <c r="D763" t="s">
        <v>369</v>
      </c>
      <c r="E763" t="s">
        <v>370</v>
      </c>
      <c r="F763" t="s">
        <v>65</v>
      </c>
      <c r="G763" t="s">
        <v>76</v>
      </c>
      <c r="H763" t="s">
        <v>77</v>
      </c>
      <c r="I763" t="s">
        <v>31</v>
      </c>
      <c r="J763" t="s">
        <v>436</v>
      </c>
      <c r="K763" t="s">
        <v>33</v>
      </c>
      <c r="L763" t="s">
        <v>88</v>
      </c>
      <c r="M763" t="s">
        <v>89</v>
      </c>
      <c r="N763" t="s">
        <v>57</v>
      </c>
      <c r="O763" s="3">
        <v>259.05</v>
      </c>
      <c r="P763">
        <v>1</v>
      </c>
      <c r="Q763" s="4">
        <v>0</v>
      </c>
      <c r="R763" s="3">
        <v>259.05</v>
      </c>
      <c r="S763" s="3">
        <v>130.44999999999999</v>
      </c>
      <c r="T763" s="3">
        <v>130.44999999999999</v>
      </c>
      <c r="U763" s="3">
        <v>128.60000000000002</v>
      </c>
      <c r="V763" s="5">
        <v>0.496429260760471</v>
      </c>
      <c r="W763">
        <v>7</v>
      </c>
      <c r="X763" t="s">
        <v>58</v>
      </c>
      <c r="Y763" s="6">
        <v>3</v>
      </c>
    </row>
    <row r="764" spans="1:25">
      <c r="A764" t="s">
        <v>1153</v>
      </c>
      <c r="B764" s="2">
        <v>45844</v>
      </c>
      <c r="C764">
        <v>2025</v>
      </c>
      <c r="D764" t="s">
        <v>369</v>
      </c>
      <c r="E764" t="s">
        <v>370</v>
      </c>
      <c r="F764" t="s">
        <v>39</v>
      </c>
      <c r="G764" t="s">
        <v>111</v>
      </c>
      <c r="H764" t="s">
        <v>112</v>
      </c>
      <c r="I764" t="s">
        <v>78</v>
      </c>
      <c r="J764" t="s">
        <v>194</v>
      </c>
      <c r="K764" t="s">
        <v>33</v>
      </c>
      <c r="L764" t="s">
        <v>88</v>
      </c>
      <c r="M764" t="s">
        <v>89</v>
      </c>
      <c r="N764" t="s">
        <v>44</v>
      </c>
      <c r="O764" s="3">
        <v>255.25</v>
      </c>
      <c r="P764">
        <v>3</v>
      </c>
      <c r="Q764" s="4">
        <v>0</v>
      </c>
      <c r="R764" s="3">
        <v>765.75</v>
      </c>
      <c r="S764" s="3">
        <v>127.11</v>
      </c>
      <c r="T764" s="3">
        <v>381.33</v>
      </c>
      <c r="U764" s="3">
        <v>384.42</v>
      </c>
      <c r="V764" s="5">
        <v>0.50201762977473063</v>
      </c>
      <c r="W764">
        <v>3</v>
      </c>
      <c r="X764" t="s">
        <v>37</v>
      </c>
      <c r="Y764" s="6">
        <v>5</v>
      </c>
    </row>
    <row r="765" spans="1:25">
      <c r="A765" t="s">
        <v>1154</v>
      </c>
      <c r="B765" s="2">
        <v>45847</v>
      </c>
      <c r="C765">
        <v>2025</v>
      </c>
      <c r="D765" t="s">
        <v>369</v>
      </c>
      <c r="E765" t="s">
        <v>370</v>
      </c>
      <c r="F765" t="s">
        <v>51</v>
      </c>
      <c r="G765" t="s">
        <v>52</v>
      </c>
      <c r="H765" t="s">
        <v>53</v>
      </c>
      <c r="I765" t="s">
        <v>71</v>
      </c>
      <c r="J765" t="s">
        <v>424</v>
      </c>
      <c r="K765" t="s">
        <v>33</v>
      </c>
      <c r="L765" t="s">
        <v>88</v>
      </c>
      <c r="M765" t="s">
        <v>89</v>
      </c>
      <c r="N765" t="s">
        <v>36</v>
      </c>
      <c r="O765" s="3">
        <v>250.84</v>
      </c>
      <c r="P765">
        <v>4</v>
      </c>
      <c r="Q765" s="4">
        <v>0.1</v>
      </c>
      <c r="R765" s="3">
        <v>903.024</v>
      </c>
      <c r="S765" s="3">
        <v>128.29</v>
      </c>
      <c r="T765" s="3">
        <v>513.16</v>
      </c>
      <c r="U765" s="3">
        <v>389.86400000000003</v>
      </c>
      <c r="V765" s="5">
        <v>0.43173160403267247</v>
      </c>
      <c r="W765">
        <v>6</v>
      </c>
      <c r="X765" t="s">
        <v>37</v>
      </c>
      <c r="Y765" s="6">
        <v>4</v>
      </c>
    </row>
    <row r="766" spans="1:25">
      <c r="A766" t="s">
        <v>1155</v>
      </c>
      <c r="B766" s="2">
        <v>45847</v>
      </c>
      <c r="C766">
        <v>2025</v>
      </c>
      <c r="D766" t="s">
        <v>369</v>
      </c>
      <c r="E766" t="s">
        <v>370</v>
      </c>
      <c r="F766" t="s">
        <v>51</v>
      </c>
      <c r="G766" t="s">
        <v>52</v>
      </c>
      <c r="H766" t="s">
        <v>102</v>
      </c>
      <c r="I766" t="s">
        <v>71</v>
      </c>
      <c r="J766" t="s">
        <v>1113</v>
      </c>
      <c r="K766" t="s">
        <v>61</v>
      </c>
      <c r="L766" t="s">
        <v>84</v>
      </c>
      <c r="M766" t="s">
        <v>85</v>
      </c>
      <c r="N766" t="s">
        <v>57</v>
      </c>
      <c r="O766" s="3">
        <v>146.58000000000001</v>
      </c>
      <c r="P766">
        <v>1</v>
      </c>
      <c r="Q766" s="4">
        <v>0.15</v>
      </c>
      <c r="R766" s="3">
        <v>124.593</v>
      </c>
      <c r="S766" s="3">
        <v>71.42</v>
      </c>
      <c r="T766" s="3">
        <v>71.42</v>
      </c>
      <c r="U766" s="3">
        <v>53.173000000000002</v>
      </c>
      <c r="V766" s="5">
        <v>0.42677357475941669</v>
      </c>
      <c r="W766">
        <v>8</v>
      </c>
      <c r="X766" t="s">
        <v>37</v>
      </c>
      <c r="Y766" s="6">
        <v>3</v>
      </c>
    </row>
    <row r="767" spans="1:25">
      <c r="A767" t="s">
        <v>1156</v>
      </c>
      <c r="B767" s="2">
        <v>45848</v>
      </c>
      <c r="C767">
        <v>2025</v>
      </c>
      <c r="D767" t="s">
        <v>369</v>
      </c>
      <c r="E767" t="s">
        <v>370</v>
      </c>
      <c r="F767" t="s">
        <v>28</v>
      </c>
      <c r="G767" t="s">
        <v>29</v>
      </c>
      <c r="H767" t="s">
        <v>30</v>
      </c>
      <c r="I767" t="s">
        <v>78</v>
      </c>
      <c r="J767" t="s">
        <v>394</v>
      </c>
      <c r="K767" t="s">
        <v>61</v>
      </c>
      <c r="L767" t="s">
        <v>62</v>
      </c>
      <c r="M767" t="s">
        <v>195</v>
      </c>
      <c r="N767" t="s">
        <v>57</v>
      </c>
      <c r="O767" s="3">
        <v>78.739999999999995</v>
      </c>
      <c r="P767">
        <v>2</v>
      </c>
      <c r="Q767" s="4">
        <v>0.2</v>
      </c>
      <c r="R767" s="3">
        <v>125.98399999999999</v>
      </c>
      <c r="S767" s="3">
        <v>31.7</v>
      </c>
      <c r="T767" s="3">
        <v>63.4</v>
      </c>
      <c r="U767" s="3">
        <v>62.583999999999996</v>
      </c>
      <c r="V767" s="5">
        <v>0.49676149352298704</v>
      </c>
      <c r="W767">
        <v>7</v>
      </c>
      <c r="X767" t="s">
        <v>37</v>
      </c>
      <c r="Y767" s="6">
        <v>4</v>
      </c>
    </row>
    <row r="768" spans="1:25">
      <c r="A768" t="s">
        <v>1157</v>
      </c>
      <c r="B768" s="2">
        <v>45848</v>
      </c>
      <c r="C768">
        <v>2025</v>
      </c>
      <c r="D768" t="s">
        <v>369</v>
      </c>
      <c r="E768" t="s">
        <v>370</v>
      </c>
      <c r="F768" t="s">
        <v>28</v>
      </c>
      <c r="G768" t="s">
        <v>29</v>
      </c>
      <c r="H768" t="s">
        <v>106</v>
      </c>
      <c r="I768" t="s">
        <v>42</v>
      </c>
      <c r="J768" t="s">
        <v>426</v>
      </c>
      <c r="K768" t="s">
        <v>33</v>
      </c>
      <c r="L768" t="s">
        <v>73</v>
      </c>
      <c r="M768" t="s">
        <v>138</v>
      </c>
      <c r="N768" t="s">
        <v>44</v>
      </c>
      <c r="O768" s="3">
        <v>323.18</v>
      </c>
      <c r="P768">
        <v>4</v>
      </c>
      <c r="Q768" s="4">
        <v>0.05</v>
      </c>
      <c r="R768" s="3">
        <v>1228.0840000000001</v>
      </c>
      <c r="S768" s="3">
        <v>178.14</v>
      </c>
      <c r="T768" s="3">
        <v>712.56</v>
      </c>
      <c r="U768" s="3">
        <v>515.52400000000011</v>
      </c>
      <c r="V768" s="5">
        <v>0.41977910305809707</v>
      </c>
      <c r="W768">
        <v>2</v>
      </c>
      <c r="X768" t="s">
        <v>37</v>
      </c>
      <c r="Y768" s="6">
        <v>5</v>
      </c>
    </row>
    <row r="769" spans="1:25">
      <c r="A769" t="s">
        <v>1158</v>
      </c>
      <c r="B769" s="2">
        <v>45849</v>
      </c>
      <c r="C769">
        <v>2025</v>
      </c>
      <c r="D769" t="s">
        <v>369</v>
      </c>
      <c r="E769" t="s">
        <v>370</v>
      </c>
      <c r="F769" t="s">
        <v>39</v>
      </c>
      <c r="G769" t="s">
        <v>111</v>
      </c>
      <c r="H769" t="s">
        <v>112</v>
      </c>
      <c r="I769" t="s">
        <v>42</v>
      </c>
      <c r="J769" t="s">
        <v>807</v>
      </c>
      <c r="K769" t="s">
        <v>33</v>
      </c>
      <c r="L769" t="s">
        <v>34</v>
      </c>
      <c r="M769" t="s">
        <v>150</v>
      </c>
      <c r="N769" t="s">
        <v>57</v>
      </c>
      <c r="O769" s="3">
        <v>428.29</v>
      </c>
      <c r="P769">
        <v>5</v>
      </c>
      <c r="Q769" s="4">
        <v>0.05</v>
      </c>
      <c r="R769" s="3">
        <v>2034.3775000000001</v>
      </c>
      <c r="S769" s="3">
        <v>253.39</v>
      </c>
      <c r="T769" s="3">
        <v>1266.9499999999998</v>
      </c>
      <c r="U769" s="3">
        <v>767.42750000000024</v>
      </c>
      <c r="V769" s="5">
        <v>0.37722964395742686</v>
      </c>
      <c r="W769">
        <v>7</v>
      </c>
      <c r="X769" t="s">
        <v>37</v>
      </c>
      <c r="Y769" s="6">
        <v>4</v>
      </c>
    </row>
    <row r="770" spans="1:25">
      <c r="A770" t="s">
        <v>1159</v>
      </c>
      <c r="B770" s="2">
        <v>45850</v>
      </c>
      <c r="C770">
        <v>2025</v>
      </c>
      <c r="D770" t="s">
        <v>369</v>
      </c>
      <c r="E770" t="s">
        <v>370</v>
      </c>
      <c r="F770" t="s">
        <v>65</v>
      </c>
      <c r="G770" t="s">
        <v>76</v>
      </c>
      <c r="H770" t="s">
        <v>77</v>
      </c>
      <c r="I770" t="s">
        <v>71</v>
      </c>
      <c r="J770" t="s">
        <v>1160</v>
      </c>
      <c r="K770" t="s">
        <v>47</v>
      </c>
      <c r="L770" t="s">
        <v>48</v>
      </c>
      <c r="M770" t="s">
        <v>104</v>
      </c>
      <c r="N770" t="s">
        <v>57</v>
      </c>
      <c r="O770" s="3">
        <v>54.56</v>
      </c>
      <c r="P770">
        <v>5</v>
      </c>
      <c r="Q770" s="4">
        <v>0.15</v>
      </c>
      <c r="R770" s="3">
        <v>231.88</v>
      </c>
      <c r="S770" s="3">
        <v>30.38</v>
      </c>
      <c r="T770" s="3">
        <v>151.9</v>
      </c>
      <c r="U770" s="3">
        <v>79.97999999999999</v>
      </c>
      <c r="V770" s="5">
        <v>0.34491978609625662</v>
      </c>
      <c r="W770">
        <v>5</v>
      </c>
      <c r="X770" t="s">
        <v>37</v>
      </c>
      <c r="Y770" s="6">
        <v>4</v>
      </c>
    </row>
    <row r="771" spans="1:25">
      <c r="A771" t="s">
        <v>1161</v>
      </c>
      <c r="B771" s="2">
        <v>45852</v>
      </c>
      <c r="C771">
        <v>2025</v>
      </c>
      <c r="D771" t="s">
        <v>369</v>
      </c>
      <c r="E771" t="s">
        <v>370</v>
      </c>
      <c r="F771" t="s">
        <v>51</v>
      </c>
      <c r="G771" t="s">
        <v>97</v>
      </c>
      <c r="H771" t="s">
        <v>98</v>
      </c>
      <c r="I771" t="s">
        <v>31</v>
      </c>
      <c r="J771" t="s">
        <v>348</v>
      </c>
      <c r="K771" t="s">
        <v>47</v>
      </c>
      <c r="L771" t="s">
        <v>114</v>
      </c>
      <c r="M771" t="s">
        <v>120</v>
      </c>
      <c r="N771" t="s">
        <v>36</v>
      </c>
      <c r="O771" s="3">
        <v>26.45</v>
      </c>
      <c r="P771">
        <v>3</v>
      </c>
      <c r="Q771" s="4">
        <v>0.05</v>
      </c>
      <c r="R771" s="3">
        <v>75.382499999999993</v>
      </c>
      <c r="S771" s="3">
        <v>11.21</v>
      </c>
      <c r="T771" s="3">
        <v>33.630000000000003</v>
      </c>
      <c r="U771" s="3">
        <v>41.752499999999991</v>
      </c>
      <c r="V771" s="5">
        <v>0.55387523629489599</v>
      </c>
      <c r="W771">
        <v>4</v>
      </c>
      <c r="X771" t="s">
        <v>37</v>
      </c>
      <c r="Y771" s="6">
        <v>5</v>
      </c>
    </row>
    <row r="772" spans="1:25">
      <c r="A772" t="s">
        <v>1162</v>
      </c>
      <c r="B772" s="2">
        <v>45861</v>
      </c>
      <c r="C772">
        <v>2025</v>
      </c>
      <c r="D772" t="s">
        <v>369</v>
      </c>
      <c r="E772" t="s">
        <v>370</v>
      </c>
      <c r="F772" t="s">
        <v>65</v>
      </c>
      <c r="G772" t="s">
        <v>76</v>
      </c>
      <c r="H772" t="s">
        <v>126</v>
      </c>
      <c r="I772" t="s">
        <v>71</v>
      </c>
      <c r="J772" t="s">
        <v>355</v>
      </c>
      <c r="K772" t="s">
        <v>61</v>
      </c>
      <c r="L772" t="s">
        <v>84</v>
      </c>
      <c r="M772" t="s">
        <v>85</v>
      </c>
      <c r="N772" t="s">
        <v>36</v>
      </c>
      <c r="O772" s="3">
        <v>143.16</v>
      </c>
      <c r="P772">
        <v>3</v>
      </c>
      <c r="Q772" s="4">
        <v>0.15</v>
      </c>
      <c r="R772" s="3">
        <v>365.05799999999999</v>
      </c>
      <c r="S772" s="3">
        <v>74</v>
      </c>
      <c r="T772" s="3">
        <v>222</v>
      </c>
      <c r="U772" s="3">
        <v>143.05799999999999</v>
      </c>
      <c r="V772" s="5">
        <v>0.39187745508932825</v>
      </c>
      <c r="W772">
        <v>1</v>
      </c>
      <c r="X772" t="s">
        <v>37</v>
      </c>
      <c r="Y772" s="6">
        <v>5</v>
      </c>
    </row>
    <row r="773" spans="1:25">
      <c r="A773" t="s">
        <v>1163</v>
      </c>
      <c r="B773" s="2">
        <v>45861</v>
      </c>
      <c r="C773">
        <v>2025</v>
      </c>
      <c r="D773" t="s">
        <v>369</v>
      </c>
      <c r="E773" t="s">
        <v>370</v>
      </c>
      <c r="F773" t="s">
        <v>51</v>
      </c>
      <c r="G773" t="s">
        <v>97</v>
      </c>
      <c r="H773" t="s">
        <v>98</v>
      </c>
      <c r="I773" t="s">
        <v>78</v>
      </c>
      <c r="J773" t="s">
        <v>192</v>
      </c>
      <c r="K773" t="s">
        <v>47</v>
      </c>
      <c r="L773" t="s">
        <v>55</v>
      </c>
      <c r="M773" t="s">
        <v>56</v>
      </c>
      <c r="N773" t="s">
        <v>57</v>
      </c>
      <c r="O773" s="3">
        <v>38.92</v>
      </c>
      <c r="P773">
        <v>3</v>
      </c>
      <c r="Q773" s="4">
        <v>0</v>
      </c>
      <c r="R773" s="3">
        <v>116.76</v>
      </c>
      <c r="S773" s="3">
        <v>16.7</v>
      </c>
      <c r="T773" s="3">
        <v>50.099999999999994</v>
      </c>
      <c r="U773" s="3">
        <v>66.660000000000011</v>
      </c>
      <c r="V773" s="5">
        <v>0.57091469681397744</v>
      </c>
      <c r="W773">
        <v>5</v>
      </c>
      <c r="X773" t="s">
        <v>37</v>
      </c>
      <c r="Y773" s="6">
        <v>5</v>
      </c>
    </row>
    <row r="774" spans="1:25">
      <c r="A774" t="s">
        <v>1164</v>
      </c>
      <c r="B774" s="2">
        <v>45861</v>
      </c>
      <c r="C774">
        <v>2025</v>
      </c>
      <c r="D774" t="s">
        <v>369</v>
      </c>
      <c r="E774" t="s">
        <v>370</v>
      </c>
      <c r="F774" t="s">
        <v>65</v>
      </c>
      <c r="G774" t="s">
        <v>76</v>
      </c>
      <c r="H774" t="s">
        <v>77</v>
      </c>
      <c r="I774" t="s">
        <v>71</v>
      </c>
      <c r="J774" t="s">
        <v>1165</v>
      </c>
      <c r="K774" t="s">
        <v>61</v>
      </c>
      <c r="L774" t="s">
        <v>84</v>
      </c>
      <c r="M774" t="s">
        <v>85</v>
      </c>
      <c r="N774" t="s">
        <v>44</v>
      </c>
      <c r="O774" s="3">
        <v>155.81</v>
      </c>
      <c r="P774">
        <v>3</v>
      </c>
      <c r="Q774" s="4">
        <v>0</v>
      </c>
      <c r="R774" s="3">
        <v>467.43</v>
      </c>
      <c r="S774" s="3">
        <v>71.900000000000006</v>
      </c>
      <c r="T774" s="3">
        <v>215.70000000000002</v>
      </c>
      <c r="U774" s="3">
        <v>251.73</v>
      </c>
      <c r="V774" s="5">
        <v>0.53854053013285408</v>
      </c>
      <c r="W774">
        <v>5</v>
      </c>
      <c r="X774" t="s">
        <v>37</v>
      </c>
      <c r="Y774" s="6">
        <v>4</v>
      </c>
    </row>
    <row r="775" spans="1:25">
      <c r="A775" t="s">
        <v>1166</v>
      </c>
      <c r="B775" s="2">
        <v>45866</v>
      </c>
      <c r="C775">
        <v>2025</v>
      </c>
      <c r="D775" t="s">
        <v>369</v>
      </c>
      <c r="E775" t="s">
        <v>370</v>
      </c>
      <c r="F775" t="s">
        <v>39</v>
      </c>
      <c r="G775" t="s">
        <v>40</v>
      </c>
      <c r="H775" t="s">
        <v>41</v>
      </c>
      <c r="I775" t="s">
        <v>78</v>
      </c>
      <c r="J775" t="s">
        <v>472</v>
      </c>
      <c r="K775" t="s">
        <v>47</v>
      </c>
      <c r="L775" t="s">
        <v>114</v>
      </c>
      <c r="M775" t="s">
        <v>120</v>
      </c>
      <c r="N775" t="s">
        <v>57</v>
      </c>
      <c r="O775" s="3">
        <v>25.44</v>
      </c>
      <c r="P775">
        <v>9</v>
      </c>
      <c r="Q775" s="4">
        <v>0.2</v>
      </c>
      <c r="R775" s="3">
        <v>183.16800000000001</v>
      </c>
      <c r="S775" s="3">
        <v>11.23</v>
      </c>
      <c r="T775" s="3">
        <v>101.07000000000001</v>
      </c>
      <c r="U775" s="3">
        <v>82.097999999999999</v>
      </c>
      <c r="V775" s="5">
        <v>0.44821147798742134</v>
      </c>
      <c r="W775">
        <v>3</v>
      </c>
      <c r="X775" t="s">
        <v>37</v>
      </c>
      <c r="Y775" s="6">
        <v>5</v>
      </c>
    </row>
    <row r="776" spans="1:25">
      <c r="A776" t="s">
        <v>1167</v>
      </c>
      <c r="B776" s="2">
        <v>45868</v>
      </c>
      <c r="C776">
        <v>2025</v>
      </c>
      <c r="D776" t="s">
        <v>369</v>
      </c>
      <c r="E776" t="s">
        <v>370</v>
      </c>
      <c r="F776" t="s">
        <v>51</v>
      </c>
      <c r="G776" t="s">
        <v>52</v>
      </c>
      <c r="H776" t="s">
        <v>53</v>
      </c>
      <c r="I776" t="s">
        <v>31</v>
      </c>
      <c r="J776" t="s">
        <v>531</v>
      </c>
      <c r="K776" t="s">
        <v>33</v>
      </c>
      <c r="L776" t="s">
        <v>88</v>
      </c>
      <c r="M776" t="s">
        <v>89</v>
      </c>
      <c r="N776" t="s">
        <v>44</v>
      </c>
      <c r="O776" s="3">
        <v>246.2</v>
      </c>
      <c r="P776">
        <v>4</v>
      </c>
      <c r="Q776" s="4">
        <v>0.15</v>
      </c>
      <c r="R776" s="3">
        <v>837.07999999999993</v>
      </c>
      <c r="S776" s="3">
        <v>126.34</v>
      </c>
      <c r="T776" s="3">
        <v>505.36</v>
      </c>
      <c r="U776" s="3">
        <v>331.71999999999991</v>
      </c>
      <c r="V776" s="5">
        <v>0.39628231471305003</v>
      </c>
      <c r="W776">
        <v>7</v>
      </c>
      <c r="X776" t="s">
        <v>37</v>
      </c>
      <c r="Y776" s="6">
        <v>4</v>
      </c>
    </row>
    <row r="777" spans="1:25">
      <c r="A777" t="s">
        <v>1168</v>
      </c>
      <c r="B777" s="2">
        <v>45869</v>
      </c>
      <c r="C777">
        <v>2025</v>
      </c>
      <c r="D777" t="s">
        <v>369</v>
      </c>
      <c r="E777" t="s">
        <v>370</v>
      </c>
      <c r="F777" t="s">
        <v>28</v>
      </c>
      <c r="G777" t="s">
        <v>29</v>
      </c>
      <c r="H777" t="s">
        <v>106</v>
      </c>
      <c r="I777" t="s">
        <v>78</v>
      </c>
      <c r="J777" t="s">
        <v>258</v>
      </c>
      <c r="K777" t="s">
        <v>61</v>
      </c>
      <c r="L777" t="s">
        <v>84</v>
      </c>
      <c r="M777" t="s">
        <v>135</v>
      </c>
      <c r="N777" t="s">
        <v>36</v>
      </c>
      <c r="O777" s="3">
        <v>923.59</v>
      </c>
      <c r="P777">
        <v>1</v>
      </c>
      <c r="Q777" s="4">
        <v>0.1</v>
      </c>
      <c r="R777" s="3">
        <v>831.23099999999999</v>
      </c>
      <c r="S777" s="3">
        <v>576.77</v>
      </c>
      <c r="T777" s="3">
        <v>576.77</v>
      </c>
      <c r="U777" s="3">
        <v>254.46100000000001</v>
      </c>
      <c r="V777" s="5">
        <v>0.30612549339473627</v>
      </c>
      <c r="W777">
        <v>6</v>
      </c>
      <c r="X777" t="s">
        <v>37</v>
      </c>
      <c r="Y777" s="6">
        <v>4</v>
      </c>
    </row>
    <row r="778" spans="1:25">
      <c r="A778" t="s">
        <v>1169</v>
      </c>
      <c r="B778" s="2">
        <v>45869</v>
      </c>
      <c r="C778">
        <v>2025</v>
      </c>
      <c r="D778" t="s">
        <v>369</v>
      </c>
      <c r="E778" t="s">
        <v>370</v>
      </c>
      <c r="F778" t="s">
        <v>65</v>
      </c>
      <c r="G778" t="s">
        <v>66</v>
      </c>
      <c r="H778" t="s">
        <v>67</v>
      </c>
      <c r="I778" t="s">
        <v>71</v>
      </c>
      <c r="J778" t="s">
        <v>107</v>
      </c>
      <c r="K778" t="s">
        <v>61</v>
      </c>
      <c r="L778" t="s">
        <v>62</v>
      </c>
      <c r="M778" t="s">
        <v>63</v>
      </c>
      <c r="N778" t="s">
        <v>57</v>
      </c>
      <c r="O778" s="3">
        <v>84.86</v>
      </c>
      <c r="P778">
        <v>4</v>
      </c>
      <c r="Q778" s="4">
        <v>0.2</v>
      </c>
      <c r="R778" s="3">
        <v>271.55200000000002</v>
      </c>
      <c r="S778" s="3">
        <v>42.92</v>
      </c>
      <c r="T778" s="3">
        <v>171.68</v>
      </c>
      <c r="U778" s="3">
        <v>99.872000000000014</v>
      </c>
      <c r="V778" s="5">
        <v>0.36778222955456047</v>
      </c>
      <c r="W778">
        <v>7</v>
      </c>
      <c r="X778" t="s">
        <v>37</v>
      </c>
      <c r="Y778" s="6">
        <v>4</v>
      </c>
    </row>
    <row r="779" spans="1:25">
      <c r="A779" t="s">
        <v>1170</v>
      </c>
      <c r="B779" s="2">
        <v>45869</v>
      </c>
      <c r="C779">
        <v>2025</v>
      </c>
      <c r="D779" t="s">
        <v>369</v>
      </c>
      <c r="E779" t="s">
        <v>370</v>
      </c>
      <c r="F779" t="s">
        <v>65</v>
      </c>
      <c r="G779" t="s">
        <v>76</v>
      </c>
      <c r="H779" t="s">
        <v>126</v>
      </c>
      <c r="I779" t="s">
        <v>42</v>
      </c>
      <c r="J779" t="s">
        <v>144</v>
      </c>
      <c r="K779" t="s">
        <v>47</v>
      </c>
      <c r="L779" t="s">
        <v>114</v>
      </c>
      <c r="M779" t="s">
        <v>115</v>
      </c>
      <c r="N779" t="s">
        <v>36</v>
      </c>
      <c r="O779" s="3">
        <v>17.89</v>
      </c>
      <c r="P779">
        <v>6</v>
      </c>
      <c r="Q779" s="4">
        <v>0</v>
      </c>
      <c r="R779" s="3">
        <v>107.34</v>
      </c>
      <c r="S779" s="3">
        <v>6.89</v>
      </c>
      <c r="T779" s="3">
        <v>41.339999999999996</v>
      </c>
      <c r="U779" s="3">
        <v>66</v>
      </c>
      <c r="V779" s="5">
        <v>0.61486864169927335</v>
      </c>
      <c r="W779">
        <v>6</v>
      </c>
      <c r="X779" t="s">
        <v>37</v>
      </c>
      <c r="Y779" s="6">
        <v>4</v>
      </c>
    </row>
    <row r="780" spans="1:25">
      <c r="A780" t="s">
        <v>1171</v>
      </c>
      <c r="B780" s="2">
        <v>45871</v>
      </c>
      <c r="C780">
        <v>2025</v>
      </c>
      <c r="D780" t="s">
        <v>369</v>
      </c>
      <c r="E780" t="s">
        <v>409</v>
      </c>
      <c r="F780" t="s">
        <v>39</v>
      </c>
      <c r="G780" t="s">
        <v>40</v>
      </c>
      <c r="H780" t="s">
        <v>41</v>
      </c>
      <c r="I780" t="s">
        <v>31</v>
      </c>
      <c r="J780" t="s">
        <v>307</v>
      </c>
      <c r="K780" t="s">
        <v>47</v>
      </c>
      <c r="L780" t="s">
        <v>55</v>
      </c>
      <c r="M780" t="s">
        <v>69</v>
      </c>
      <c r="N780" t="s">
        <v>44</v>
      </c>
      <c r="O780" s="3">
        <v>46.19</v>
      </c>
      <c r="P780">
        <v>12</v>
      </c>
      <c r="Q780" s="4">
        <v>0.15</v>
      </c>
      <c r="R780" s="3">
        <v>471.13799999999998</v>
      </c>
      <c r="S780" s="3">
        <v>22.32</v>
      </c>
      <c r="T780" s="3">
        <v>267.84000000000003</v>
      </c>
      <c r="U780" s="3">
        <v>203.29799999999994</v>
      </c>
      <c r="V780" s="5">
        <v>0.43150414528227388</v>
      </c>
      <c r="W780">
        <v>1</v>
      </c>
      <c r="X780" t="s">
        <v>37</v>
      </c>
      <c r="Y780" s="6">
        <v>5</v>
      </c>
    </row>
    <row r="781" spans="1:25">
      <c r="A781" t="s">
        <v>1172</v>
      </c>
      <c r="B781" s="2">
        <v>45872</v>
      </c>
      <c r="C781">
        <v>2025</v>
      </c>
      <c r="D781" t="s">
        <v>369</v>
      </c>
      <c r="E781" t="s">
        <v>409</v>
      </c>
      <c r="F781" t="s">
        <v>39</v>
      </c>
      <c r="G781" t="s">
        <v>40</v>
      </c>
      <c r="H781" t="s">
        <v>41</v>
      </c>
      <c r="I781" t="s">
        <v>42</v>
      </c>
      <c r="J781" t="s">
        <v>836</v>
      </c>
      <c r="K781" t="s">
        <v>33</v>
      </c>
      <c r="L781" t="s">
        <v>88</v>
      </c>
      <c r="M781" t="s">
        <v>100</v>
      </c>
      <c r="N781" t="s">
        <v>44</v>
      </c>
      <c r="O781" s="3">
        <v>310.94</v>
      </c>
      <c r="P781">
        <v>3</v>
      </c>
      <c r="Q781" s="4">
        <v>0.1</v>
      </c>
      <c r="R781" s="3">
        <v>839.53800000000001</v>
      </c>
      <c r="S781" s="3">
        <v>156.12</v>
      </c>
      <c r="T781" s="3">
        <v>468.36</v>
      </c>
      <c r="U781" s="3">
        <v>371.178</v>
      </c>
      <c r="V781" s="5">
        <v>0.44212173838468299</v>
      </c>
      <c r="W781">
        <v>2</v>
      </c>
      <c r="X781" t="s">
        <v>58</v>
      </c>
      <c r="Y781" s="6">
        <v>3</v>
      </c>
    </row>
    <row r="782" spans="1:25">
      <c r="A782" t="s">
        <v>1173</v>
      </c>
      <c r="B782" s="2">
        <v>45873</v>
      </c>
      <c r="C782">
        <v>2025</v>
      </c>
      <c r="D782" t="s">
        <v>369</v>
      </c>
      <c r="E782" t="s">
        <v>409</v>
      </c>
      <c r="F782" t="s">
        <v>65</v>
      </c>
      <c r="G782" t="s">
        <v>76</v>
      </c>
      <c r="H782" t="s">
        <v>126</v>
      </c>
      <c r="I782" t="s">
        <v>78</v>
      </c>
      <c r="J782" t="s">
        <v>740</v>
      </c>
      <c r="K782" t="s">
        <v>33</v>
      </c>
      <c r="L782" t="s">
        <v>34</v>
      </c>
      <c r="M782" t="s">
        <v>35</v>
      </c>
      <c r="N782" t="s">
        <v>57</v>
      </c>
      <c r="O782" s="3">
        <v>186.62</v>
      </c>
      <c r="P782">
        <v>3</v>
      </c>
      <c r="Q782" s="4">
        <v>0</v>
      </c>
      <c r="R782" s="3">
        <v>559.86</v>
      </c>
      <c r="S782" s="3">
        <v>90.95</v>
      </c>
      <c r="T782" s="3">
        <v>272.85000000000002</v>
      </c>
      <c r="U782" s="3">
        <v>287.01</v>
      </c>
      <c r="V782" s="5">
        <v>0.51264601864751902</v>
      </c>
      <c r="W782">
        <v>3</v>
      </c>
      <c r="X782" t="s">
        <v>37</v>
      </c>
      <c r="Y782" s="6">
        <v>5</v>
      </c>
    </row>
    <row r="783" spans="1:25">
      <c r="A783" t="s">
        <v>1174</v>
      </c>
      <c r="B783" s="2">
        <v>45874</v>
      </c>
      <c r="C783">
        <v>2025</v>
      </c>
      <c r="D783" t="s">
        <v>369</v>
      </c>
      <c r="E783" t="s">
        <v>409</v>
      </c>
      <c r="F783" t="s">
        <v>28</v>
      </c>
      <c r="G783" t="s">
        <v>29</v>
      </c>
      <c r="H783" t="s">
        <v>30</v>
      </c>
      <c r="I783" t="s">
        <v>78</v>
      </c>
      <c r="J783" t="s">
        <v>185</v>
      </c>
      <c r="K783" t="s">
        <v>33</v>
      </c>
      <c r="L783" t="s">
        <v>88</v>
      </c>
      <c r="M783" t="s">
        <v>89</v>
      </c>
      <c r="N783" t="s">
        <v>36</v>
      </c>
      <c r="O783" s="3">
        <v>254.5</v>
      </c>
      <c r="P783">
        <v>3</v>
      </c>
      <c r="Q783" s="4">
        <v>0.15</v>
      </c>
      <c r="R783" s="3">
        <v>648.97500000000002</v>
      </c>
      <c r="S783" s="3">
        <v>128.63999999999999</v>
      </c>
      <c r="T783" s="3">
        <v>385.91999999999996</v>
      </c>
      <c r="U783" s="3">
        <v>263.05500000000006</v>
      </c>
      <c r="V783" s="5">
        <v>0.40533918872067498</v>
      </c>
      <c r="W783">
        <v>7</v>
      </c>
      <c r="X783" t="s">
        <v>58</v>
      </c>
      <c r="Y783" s="6">
        <v>2</v>
      </c>
    </row>
    <row r="784" spans="1:25">
      <c r="A784" t="s">
        <v>1175</v>
      </c>
      <c r="B784" s="2">
        <v>45874</v>
      </c>
      <c r="C784">
        <v>2025</v>
      </c>
      <c r="D784" t="s">
        <v>369</v>
      </c>
      <c r="E784" t="s">
        <v>409</v>
      </c>
      <c r="F784" t="s">
        <v>51</v>
      </c>
      <c r="G784" t="s">
        <v>52</v>
      </c>
      <c r="H784" t="s">
        <v>102</v>
      </c>
      <c r="I784" t="s">
        <v>31</v>
      </c>
      <c r="J784" t="s">
        <v>514</v>
      </c>
      <c r="K784" t="s">
        <v>47</v>
      </c>
      <c r="L784" t="s">
        <v>55</v>
      </c>
      <c r="M784" t="s">
        <v>56</v>
      </c>
      <c r="N784" t="s">
        <v>36</v>
      </c>
      <c r="O784" s="3">
        <v>38.58</v>
      </c>
      <c r="P784">
        <v>6</v>
      </c>
      <c r="Q784" s="4">
        <v>0.05</v>
      </c>
      <c r="R784" s="3">
        <v>219.90599999999998</v>
      </c>
      <c r="S784" s="3">
        <v>17.37</v>
      </c>
      <c r="T784" s="3">
        <v>104.22</v>
      </c>
      <c r="U784" s="3">
        <v>115.68599999999998</v>
      </c>
      <c r="V784" s="5">
        <v>0.52607023000736675</v>
      </c>
      <c r="W784">
        <v>8</v>
      </c>
      <c r="X784" t="s">
        <v>37</v>
      </c>
      <c r="Y784" s="6">
        <v>4</v>
      </c>
    </row>
    <row r="785" spans="1:25">
      <c r="A785" t="s">
        <v>1176</v>
      </c>
      <c r="B785" s="2">
        <v>45875</v>
      </c>
      <c r="C785">
        <v>2025</v>
      </c>
      <c r="D785" t="s">
        <v>369</v>
      </c>
      <c r="E785" t="s">
        <v>409</v>
      </c>
      <c r="F785" t="s">
        <v>39</v>
      </c>
      <c r="G785" t="s">
        <v>40</v>
      </c>
      <c r="H785" t="s">
        <v>41</v>
      </c>
      <c r="I785" t="s">
        <v>71</v>
      </c>
      <c r="J785" t="s">
        <v>623</v>
      </c>
      <c r="K785" t="s">
        <v>47</v>
      </c>
      <c r="L785" t="s">
        <v>48</v>
      </c>
      <c r="M785" t="s">
        <v>49</v>
      </c>
      <c r="N785" t="s">
        <v>44</v>
      </c>
      <c r="O785" s="3">
        <v>32.56</v>
      </c>
      <c r="P785">
        <v>10</v>
      </c>
      <c r="Q785" s="4">
        <v>0</v>
      </c>
      <c r="R785" s="3">
        <v>325.60000000000002</v>
      </c>
      <c r="S785" s="3">
        <v>14.16</v>
      </c>
      <c r="T785" s="3">
        <v>141.6</v>
      </c>
      <c r="U785" s="3">
        <v>184.00000000000003</v>
      </c>
      <c r="V785" s="5">
        <v>0.56511056511056512</v>
      </c>
      <c r="W785">
        <v>2</v>
      </c>
      <c r="X785" t="s">
        <v>37</v>
      </c>
      <c r="Y785" s="6">
        <v>5</v>
      </c>
    </row>
    <row r="786" spans="1:25">
      <c r="A786" t="s">
        <v>1177</v>
      </c>
      <c r="B786" s="2">
        <v>45878</v>
      </c>
      <c r="C786">
        <v>2025</v>
      </c>
      <c r="D786" t="s">
        <v>369</v>
      </c>
      <c r="E786" t="s">
        <v>409</v>
      </c>
      <c r="F786" t="s">
        <v>65</v>
      </c>
      <c r="G786" t="s">
        <v>76</v>
      </c>
      <c r="H786" t="s">
        <v>77</v>
      </c>
      <c r="I786" t="s">
        <v>42</v>
      </c>
      <c r="J786" t="s">
        <v>820</v>
      </c>
      <c r="K786" t="s">
        <v>61</v>
      </c>
      <c r="L786" t="s">
        <v>84</v>
      </c>
      <c r="M786" t="s">
        <v>135</v>
      </c>
      <c r="N786" t="s">
        <v>44</v>
      </c>
      <c r="O786" s="3">
        <v>886.48</v>
      </c>
      <c r="P786">
        <v>3</v>
      </c>
      <c r="Q786" s="4">
        <v>0.1</v>
      </c>
      <c r="R786" s="3">
        <v>2393.4960000000001</v>
      </c>
      <c r="S786" s="3">
        <v>562.91999999999996</v>
      </c>
      <c r="T786" s="3">
        <v>1688.7599999999998</v>
      </c>
      <c r="U786" s="3">
        <v>704.73600000000033</v>
      </c>
      <c r="V786" s="5">
        <v>0.29443792678157821</v>
      </c>
      <c r="W786">
        <v>3</v>
      </c>
      <c r="X786" t="s">
        <v>37</v>
      </c>
      <c r="Y786" s="6">
        <v>5</v>
      </c>
    </row>
    <row r="787" spans="1:25">
      <c r="A787" t="s">
        <v>1178</v>
      </c>
      <c r="B787" s="2">
        <v>45878</v>
      </c>
      <c r="C787">
        <v>2025</v>
      </c>
      <c r="D787" t="s">
        <v>369</v>
      </c>
      <c r="E787" t="s">
        <v>409</v>
      </c>
      <c r="F787" t="s">
        <v>28</v>
      </c>
      <c r="G787" t="s">
        <v>29</v>
      </c>
      <c r="H787" t="s">
        <v>60</v>
      </c>
      <c r="I787" t="s">
        <v>71</v>
      </c>
      <c r="J787" t="s">
        <v>608</v>
      </c>
      <c r="K787" t="s">
        <v>47</v>
      </c>
      <c r="L787" t="s">
        <v>48</v>
      </c>
      <c r="M787" t="s">
        <v>104</v>
      </c>
      <c r="N787" t="s">
        <v>36</v>
      </c>
      <c r="O787" s="3">
        <v>53.48</v>
      </c>
      <c r="P787">
        <v>8</v>
      </c>
      <c r="Q787" s="4">
        <v>0.1</v>
      </c>
      <c r="R787" s="3">
        <v>385.05599999999998</v>
      </c>
      <c r="S787" s="3">
        <v>30.61</v>
      </c>
      <c r="T787" s="3">
        <v>244.88</v>
      </c>
      <c r="U787" s="3">
        <v>140.17599999999999</v>
      </c>
      <c r="V787" s="5">
        <v>0.36404055514003159</v>
      </c>
      <c r="W787">
        <v>2</v>
      </c>
      <c r="X787" t="s">
        <v>37</v>
      </c>
      <c r="Y787" s="6">
        <v>5</v>
      </c>
    </row>
    <row r="788" spans="1:25">
      <c r="A788" t="s">
        <v>1179</v>
      </c>
      <c r="B788" s="2">
        <v>45879</v>
      </c>
      <c r="C788">
        <v>2025</v>
      </c>
      <c r="D788" t="s">
        <v>369</v>
      </c>
      <c r="E788" t="s">
        <v>409</v>
      </c>
      <c r="F788" t="s">
        <v>28</v>
      </c>
      <c r="G788" t="s">
        <v>29</v>
      </c>
      <c r="H788" t="s">
        <v>60</v>
      </c>
      <c r="I788" t="s">
        <v>42</v>
      </c>
      <c r="J788" t="s">
        <v>119</v>
      </c>
      <c r="K788" t="s">
        <v>33</v>
      </c>
      <c r="L788" t="s">
        <v>88</v>
      </c>
      <c r="M788" t="s">
        <v>100</v>
      </c>
      <c r="N788" t="s">
        <v>36</v>
      </c>
      <c r="O788" s="3">
        <v>303.91000000000003</v>
      </c>
      <c r="P788">
        <v>4</v>
      </c>
      <c r="Q788" s="4">
        <v>0.05</v>
      </c>
      <c r="R788" s="3">
        <v>1154.8579999999999</v>
      </c>
      <c r="S788" s="3">
        <v>155.88</v>
      </c>
      <c r="T788" s="3">
        <v>623.52</v>
      </c>
      <c r="U788" s="3">
        <v>531.33799999999997</v>
      </c>
      <c r="V788" s="5">
        <v>0.46008946554468166</v>
      </c>
      <c r="W788">
        <v>2</v>
      </c>
      <c r="X788" t="s">
        <v>37</v>
      </c>
      <c r="Y788" s="6">
        <v>4</v>
      </c>
    </row>
    <row r="789" spans="1:25">
      <c r="A789" t="s">
        <v>1180</v>
      </c>
      <c r="B789" s="2">
        <v>45880</v>
      </c>
      <c r="C789">
        <v>2025</v>
      </c>
      <c r="D789" t="s">
        <v>369</v>
      </c>
      <c r="E789" t="s">
        <v>409</v>
      </c>
      <c r="F789" t="s">
        <v>39</v>
      </c>
      <c r="G789" t="s">
        <v>111</v>
      </c>
      <c r="H789" t="s">
        <v>112</v>
      </c>
      <c r="I789" t="s">
        <v>71</v>
      </c>
      <c r="J789" t="s">
        <v>817</v>
      </c>
      <c r="K789" t="s">
        <v>47</v>
      </c>
      <c r="L789" t="s">
        <v>55</v>
      </c>
      <c r="M789" t="s">
        <v>56</v>
      </c>
      <c r="N789" t="s">
        <v>44</v>
      </c>
      <c r="O789" s="3">
        <v>37.9</v>
      </c>
      <c r="P789">
        <v>7</v>
      </c>
      <c r="Q789" s="4">
        <v>0</v>
      </c>
      <c r="R789" s="3">
        <v>265.3</v>
      </c>
      <c r="S789" s="3">
        <v>17.41</v>
      </c>
      <c r="T789" s="3">
        <v>121.87</v>
      </c>
      <c r="U789" s="3">
        <v>143.43</v>
      </c>
      <c r="V789" s="5">
        <v>0.54063324538258573</v>
      </c>
      <c r="W789">
        <v>1</v>
      </c>
      <c r="X789" t="s">
        <v>37</v>
      </c>
      <c r="Y789" s="6">
        <v>5</v>
      </c>
    </row>
    <row r="790" spans="1:25">
      <c r="A790" t="s">
        <v>1181</v>
      </c>
      <c r="B790" s="2">
        <v>45881</v>
      </c>
      <c r="C790">
        <v>2025</v>
      </c>
      <c r="D790" t="s">
        <v>369</v>
      </c>
      <c r="E790" t="s">
        <v>409</v>
      </c>
      <c r="F790" t="s">
        <v>65</v>
      </c>
      <c r="G790" t="s">
        <v>66</v>
      </c>
      <c r="H790" t="s">
        <v>67</v>
      </c>
      <c r="I790" t="s">
        <v>31</v>
      </c>
      <c r="J790" t="s">
        <v>169</v>
      </c>
      <c r="K790" t="s">
        <v>47</v>
      </c>
      <c r="L790" t="s">
        <v>48</v>
      </c>
      <c r="M790" t="s">
        <v>49</v>
      </c>
      <c r="N790" t="s">
        <v>44</v>
      </c>
      <c r="O790" s="3">
        <v>32.4</v>
      </c>
      <c r="P790">
        <v>4</v>
      </c>
      <c r="Q790" s="4">
        <v>0.2</v>
      </c>
      <c r="R790" s="3">
        <v>103.68</v>
      </c>
      <c r="S790" s="3">
        <v>13.91</v>
      </c>
      <c r="T790" s="3">
        <v>55.64</v>
      </c>
      <c r="U790" s="3">
        <v>48.040000000000006</v>
      </c>
      <c r="V790" s="5">
        <v>0.4633487654320988</v>
      </c>
      <c r="W790">
        <v>7</v>
      </c>
      <c r="X790" t="s">
        <v>37</v>
      </c>
      <c r="Y790" s="6">
        <v>4</v>
      </c>
    </row>
    <row r="791" spans="1:25">
      <c r="A791" t="s">
        <v>1182</v>
      </c>
      <c r="B791" s="2">
        <v>45883</v>
      </c>
      <c r="C791">
        <v>2025</v>
      </c>
      <c r="D791" t="s">
        <v>369</v>
      </c>
      <c r="E791" t="s">
        <v>409</v>
      </c>
      <c r="F791" t="s">
        <v>51</v>
      </c>
      <c r="G791" t="s">
        <v>52</v>
      </c>
      <c r="H791" t="s">
        <v>102</v>
      </c>
      <c r="I791" t="s">
        <v>31</v>
      </c>
      <c r="J791" t="s">
        <v>1023</v>
      </c>
      <c r="K791" t="s">
        <v>61</v>
      </c>
      <c r="L791" t="s">
        <v>62</v>
      </c>
      <c r="M791" t="s">
        <v>195</v>
      </c>
      <c r="N791" t="s">
        <v>57</v>
      </c>
      <c r="O791" s="3">
        <v>78.650000000000006</v>
      </c>
      <c r="P791">
        <v>4</v>
      </c>
      <c r="Q791" s="4">
        <v>0.15</v>
      </c>
      <c r="R791" s="3">
        <v>267.41000000000003</v>
      </c>
      <c r="S791" s="3">
        <v>31.14</v>
      </c>
      <c r="T791" s="3">
        <v>124.56</v>
      </c>
      <c r="U791" s="3">
        <v>142.85000000000002</v>
      </c>
      <c r="V791" s="5">
        <v>0.53419842189895672</v>
      </c>
      <c r="W791">
        <v>3</v>
      </c>
      <c r="X791" t="s">
        <v>58</v>
      </c>
      <c r="Y791" s="6">
        <v>4</v>
      </c>
    </row>
    <row r="792" spans="1:25">
      <c r="A792" t="s">
        <v>1183</v>
      </c>
      <c r="B792" s="2">
        <v>45886</v>
      </c>
      <c r="C792">
        <v>2025</v>
      </c>
      <c r="D792" t="s">
        <v>369</v>
      </c>
      <c r="E792" t="s">
        <v>409</v>
      </c>
      <c r="F792" t="s">
        <v>39</v>
      </c>
      <c r="G792" t="s">
        <v>91</v>
      </c>
      <c r="H792" t="s">
        <v>92</v>
      </c>
      <c r="I792" t="s">
        <v>42</v>
      </c>
      <c r="J792" t="s">
        <v>46</v>
      </c>
      <c r="K792" t="s">
        <v>61</v>
      </c>
      <c r="L792" t="s">
        <v>62</v>
      </c>
      <c r="M792" t="s">
        <v>195</v>
      </c>
      <c r="N792" t="s">
        <v>57</v>
      </c>
      <c r="O792" s="3">
        <v>72.48</v>
      </c>
      <c r="P792">
        <v>5</v>
      </c>
      <c r="Q792" s="4">
        <v>0.15</v>
      </c>
      <c r="R792" s="3">
        <v>308.04000000000002</v>
      </c>
      <c r="S792" s="3">
        <v>31.36</v>
      </c>
      <c r="T792" s="3">
        <v>156.80000000000001</v>
      </c>
      <c r="U792" s="3">
        <v>151.24</v>
      </c>
      <c r="V792" s="5">
        <v>0.49097519802623035</v>
      </c>
      <c r="W792">
        <v>2</v>
      </c>
      <c r="X792" t="s">
        <v>37</v>
      </c>
      <c r="Y792" s="6">
        <v>4</v>
      </c>
    </row>
    <row r="793" spans="1:25">
      <c r="A793" t="s">
        <v>1184</v>
      </c>
      <c r="B793" s="2">
        <v>45887</v>
      </c>
      <c r="C793">
        <v>2025</v>
      </c>
      <c r="D793" t="s">
        <v>369</v>
      </c>
      <c r="E793" t="s">
        <v>409</v>
      </c>
      <c r="F793" t="s">
        <v>65</v>
      </c>
      <c r="G793" t="s">
        <v>76</v>
      </c>
      <c r="H793" t="s">
        <v>126</v>
      </c>
      <c r="I793" t="s">
        <v>71</v>
      </c>
      <c r="J793" t="s">
        <v>556</v>
      </c>
      <c r="K793" t="s">
        <v>33</v>
      </c>
      <c r="L793" t="s">
        <v>73</v>
      </c>
      <c r="M793" t="s">
        <v>74</v>
      </c>
      <c r="N793" t="s">
        <v>57</v>
      </c>
      <c r="O793" s="3">
        <v>724.07</v>
      </c>
      <c r="P793">
        <v>3</v>
      </c>
      <c r="Q793" s="4">
        <v>0</v>
      </c>
      <c r="R793" s="3">
        <v>2172.21</v>
      </c>
      <c r="S793" s="3">
        <v>413.37</v>
      </c>
      <c r="T793" s="3">
        <v>1240.1100000000001</v>
      </c>
      <c r="U793" s="3">
        <v>932.09999999999991</v>
      </c>
      <c r="V793" s="5">
        <v>0.42910215863107154</v>
      </c>
      <c r="W793">
        <v>4</v>
      </c>
      <c r="X793" t="s">
        <v>37</v>
      </c>
      <c r="Y793" s="6">
        <v>4</v>
      </c>
    </row>
    <row r="794" spans="1:25">
      <c r="A794" t="s">
        <v>1185</v>
      </c>
      <c r="B794" s="2">
        <v>45892</v>
      </c>
      <c r="C794">
        <v>2025</v>
      </c>
      <c r="D794" t="s">
        <v>369</v>
      </c>
      <c r="E794" t="s">
        <v>409</v>
      </c>
      <c r="F794" t="s">
        <v>28</v>
      </c>
      <c r="G794" t="s">
        <v>29</v>
      </c>
      <c r="H794" t="s">
        <v>30</v>
      </c>
      <c r="I794" t="s">
        <v>78</v>
      </c>
      <c r="J794" t="s">
        <v>270</v>
      </c>
      <c r="K794" t="s">
        <v>61</v>
      </c>
      <c r="L794" t="s">
        <v>62</v>
      </c>
      <c r="M794" t="s">
        <v>63</v>
      </c>
      <c r="N794" t="s">
        <v>57</v>
      </c>
      <c r="O794" s="3">
        <v>87.73</v>
      </c>
      <c r="P794">
        <v>2</v>
      </c>
      <c r="Q794" s="4">
        <v>0</v>
      </c>
      <c r="R794" s="3">
        <v>175.46</v>
      </c>
      <c r="S794" s="3">
        <v>43.09</v>
      </c>
      <c r="T794" s="3">
        <v>86.18</v>
      </c>
      <c r="U794" s="3">
        <v>89.28</v>
      </c>
      <c r="V794" s="5">
        <v>0.50883392226148405</v>
      </c>
      <c r="W794">
        <v>5</v>
      </c>
      <c r="X794" t="s">
        <v>37</v>
      </c>
      <c r="Y794" s="6">
        <v>4</v>
      </c>
    </row>
    <row r="795" spans="1:25">
      <c r="A795" t="s">
        <v>1186</v>
      </c>
      <c r="B795" s="2">
        <v>45893</v>
      </c>
      <c r="C795">
        <v>2025</v>
      </c>
      <c r="D795" t="s">
        <v>369</v>
      </c>
      <c r="E795" t="s">
        <v>409</v>
      </c>
      <c r="F795" t="s">
        <v>65</v>
      </c>
      <c r="G795" t="s">
        <v>66</v>
      </c>
      <c r="H795" t="s">
        <v>67</v>
      </c>
      <c r="I795" t="s">
        <v>42</v>
      </c>
      <c r="J795" t="s">
        <v>322</v>
      </c>
      <c r="K795" t="s">
        <v>61</v>
      </c>
      <c r="L795" t="s">
        <v>84</v>
      </c>
      <c r="M795" t="s">
        <v>85</v>
      </c>
      <c r="N795" t="s">
        <v>57</v>
      </c>
      <c r="O795" s="3">
        <v>147.19999999999999</v>
      </c>
      <c r="P795">
        <v>2</v>
      </c>
      <c r="Q795" s="4">
        <v>0.05</v>
      </c>
      <c r="R795" s="3">
        <v>279.67999999999995</v>
      </c>
      <c r="S795" s="3">
        <v>70.790000000000006</v>
      </c>
      <c r="T795" s="3">
        <v>141.58000000000001</v>
      </c>
      <c r="U795" s="3">
        <v>138.09999999999994</v>
      </c>
      <c r="V795" s="5">
        <v>0.49377860411899299</v>
      </c>
      <c r="W795">
        <v>1</v>
      </c>
      <c r="X795" t="s">
        <v>37</v>
      </c>
      <c r="Y795" s="6">
        <v>5</v>
      </c>
    </row>
    <row r="796" spans="1:25">
      <c r="A796" t="s">
        <v>1187</v>
      </c>
      <c r="B796" s="2">
        <v>45896</v>
      </c>
      <c r="C796">
        <v>2025</v>
      </c>
      <c r="D796" t="s">
        <v>369</v>
      </c>
      <c r="E796" t="s">
        <v>409</v>
      </c>
      <c r="F796" t="s">
        <v>39</v>
      </c>
      <c r="G796" t="s">
        <v>91</v>
      </c>
      <c r="H796" t="s">
        <v>92</v>
      </c>
      <c r="I796" t="s">
        <v>42</v>
      </c>
      <c r="J796" t="s">
        <v>215</v>
      </c>
      <c r="K796" t="s">
        <v>47</v>
      </c>
      <c r="L796" t="s">
        <v>48</v>
      </c>
      <c r="M796" t="s">
        <v>49</v>
      </c>
      <c r="N796" t="s">
        <v>44</v>
      </c>
      <c r="O796" s="3">
        <v>32.39</v>
      </c>
      <c r="P796">
        <v>6</v>
      </c>
      <c r="Q796" s="4">
        <v>0.1</v>
      </c>
      <c r="R796" s="3">
        <v>174.90600000000001</v>
      </c>
      <c r="S796" s="3">
        <v>14.02</v>
      </c>
      <c r="T796" s="3">
        <v>84.12</v>
      </c>
      <c r="U796" s="3">
        <v>90.786000000000001</v>
      </c>
      <c r="V796" s="5">
        <v>0.5190559500531714</v>
      </c>
      <c r="W796">
        <v>4</v>
      </c>
      <c r="X796" t="s">
        <v>37</v>
      </c>
      <c r="Y796" s="6">
        <v>5</v>
      </c>
    </row>
    <row r="797" spans="1:25">
      <c r="A797" t="s">
        <v>1188</v>
      </c>
      <c r="B797" s="2">
        <v>45897</v>
      </c>
      <c r="C797">
        <v>2025</v>
      </c>
      <c r="D797" t="s">
        <v>369</v>
      </c>
      <c r="E797" t="s">
        <v>409</v>
      </c>
      <c r="F797" t="s">
        <v>28</v>
      </c>
      <c r="G797" t="s">
        <v>29</v>
      </c>
      <c r="H797" t="s">
        <v>30</v>
      </c>
      <c r="I797" t="s">
        <v>78</v>
      </c>
      <c r="J797" t="s">
        <v>436</v>
      </c>
      <c r="K797" t="s">
        <v>33</v>
      </c>
      <c r="L797" t="s">
        <v>73</v>
      </c>
      <c r="M797" t="s">
        <v>138</v>
      </c>
      <c r="N797" t="s">
        <v>36</v>
      </c>
      <c r="O797" s="3">
        <v>329.99</v>
      </c>
      <c r="P797">
        <v>4</v>
      </c>
      <c r="Q797" s="4">
        <v>0</v>
      </c>
      <c r="R797" s="3">
        <v>1319.96</v>
      </c>
      <c r="S797" s="3">
        <v>172.92</v>
      </c>
      <c r="T797" s="3">
        <v>691.68</v>
      </c>
      <c r="U797" s="3">
        <v>628.28000000000009</v>
      </c>
      <c r="V797" s="5">
        <v>0.47598412073093127</v>
      </c>
      <c r="W797">
        <v>2</v>
      </c>
      <c r="X797" t="s">
        <v>37</v>
      </c>
      <c r="Y797" s="6">
        <v>5</v>
      </c>
    </row>
    <row r="798" spans="1:25">
      <c r="A798" t="s">
        <v>1189</v>
      </c>
      <c r="B798" s="2">
        <v>45898</v>
      </c>
      <c r="C798">
        <v>2025</v>
      </c>
      <c r="D798" t="s">
        <v>369</v>
      </c>
      <c r="E798" t="s">
        <v>409</v>
      </c>
      <c r="F798" t="s">
        <v>28</v>
      </c>
      <c r="G798" t="s">
        <v>29</v>
      </c>
      <c r="H798" t="s">
        <v>106</v>
      </c>
      <c r="I798" t="s">
        <v>71</v>
      </c>
      <c r="J798" t="s">
        <v>623</v>
      </c>
      <c r="K798" t="s">
        <v>61</v>
      </c>
      <c r="L798" t="s">
        <v>80</v>
      </c>
      <c r="M798" t="s">
        <v>187</v>
      </c>
      <c r="N798" t="s">
        <v>36</v>
      </c>
      <c r="O798" s="3">
        <v>1318.09</v>
      </c>
      <c r="P798">
        <v>1</v>
      </c>
      <c r="Q798" s="4">
        <v>0</v>
      </c>
      <c r="R798" s="3">
        <v>1318.09</v>
      </c>
      <c r="S798" s="3">
        <v>874.8</v>
      </c>
      <c r="T798" s="3">
        <v>874.8</v>
      </c>
      <c r="U798" s="3">
        <v>443.28999999999996</v>
      </c>
      <c r="V798" s="5">
        <v>0.33631239141485025</v>
      </c>
      <c r="W798">
        <v>2</v>
      </c>
      <c r="X798" t="s">
        <v>37</v>
      </c>
      <c r="Y798" s="6">
        <v>5</v>
      </c>
    </row>
    <row r="799" spans="1:25">
      <c r="A799" t="s">
        <v>1190</v>
      </c>
      <c r="B799" s="2">
        <v>45898</v>
      </c>
      <c r="C799">
        <v>2025</v>
      </c>
      <c r="D799" t="s">
        <v>369</v>
      </c>
      <c r="E799" t="s">
        <v>409</v>
      </c>
      <c r="F799" t="s">
        <v>39</v>
      </c>
      <c r="G799" t="s">
        <v>111</v>
      </c>
      <c r="H799" t="s">
        <v>112</v>
      </c>
      <c r="I799" t="s">
        <v>78</v>
      </c>
      <c r="J799" t="s">
        <v>54</v>
      </c>
      <c r="K799" t="s">
        <v>33</v>
      </c>
      <c r="L799" t="s">
        <v>34</v>
      </c>
      <c r="M799" t="s">
        <v>35</v>
      </c>
      <c r="N799" t="s">
        <v>36</v>
      </c>
      <c r="O799" s="3">
        <v>176.78</v>
      </c>
      <c r="P799">
        <v>3</v>
      </c>
      <c r="Q799" s="4">
        <v>0</v>
      </c>
      <c r="R799" s="3">
        <v>530.34</v>
      </c>
      <c r="S799" s="3">
        <v>90.67</v>
      </c>
      <c r="T799" s="3">
        <v>272.01</v>
      </c>
      <c r="U799" s="3">
        <v>258.33000000000004</v>
      </c>
      <c r="V799" s="5">
        <v>0.48710261341780747</v>
      </c>
      <c r="W799">
        <v>2</v>
      </c>
      <c r="X799" t="s">
        <v>37</v>
      </c>
      <c r="Y799" s="6">
        <v>4</v>
      </c>
    </row>
    <row r="800" spans="1:25">
      <c r="A800" t="s">
        <v>1191</v>
      </c>
      <c r="B800" s="2">
        <v>45898</v>
      </c>
      <c r="C800">
        <v>2025</v>
      </c>
      <c r="D800" t="s">
        <v>369</v>
      </c>
      <c r="E800" t="s">
        <v>409</v>
      </c>
      <c r="F800" t="s">
        <v>39</v>
      </c>
      <c r="G800" t="s">
        <v>91</v>
      </c>
      <c r="H800" t="s">
        <v>92</v>
      </c>
      <c r="I800" t="s">
        <v>31</v>
      </c>
      <c r="J800" t="s">
        <v>586</v>
      </c>
      <c r="K800" t="s">
        <v>47</v>
      </c>
      <c r="L800" t="s">
        <v>55</v>
      </c>
      <c r="M800" t="s">
        <v>69</v>
      </c>
      <c r="N800" t="s">
        <v>44</v>
      </c>
      <c r="O800" s="3">
        <v>42.56</v>
      </c>
      <c r="P800">
        <v>10</v>
      </c>
      <c r="Q800" s="4">
        <v>0.15</v>
      </c>
      <c r="R800" s="3">
        <v>361.76</v>
      </c>
      <c r="S800" s="3">
        <v>21.69</v>
      </c>
      <c r="T800" s="3">
        <v>216.9</v>
      </c>
      <c r="U800" s="3">
        <v>144.85999999999999</v>
      </c>
      <c r="V800" s="5">
        <v>0.40043122512162754</v>
      </c>
      <c r="W800">
        <v>6</v>
      </c>
      <c r="X800" t="s">
        <v>37</v>
      </c>
      <c r="Y800" s="6">
        <v>4</v>
      </c>
    </row>
    <row r="801" spans="1:25">
      <c r="A801" t="s">
        <v>1192</v>
      </c>
      <c r="B801" s="2">
        <v>45900</v>
      </c>
      <c r="C801">
        <v>2025</v>
      </c>
      <c r="D801" t="s">
        <v>369</v>
      </c>
      <c r="E801" t="s">
        <v>409</v>
      </c>
      <c r="F801" t="s">
        <v>65</v>
      </c>
      <c r="G801" t="s">
        <v>76</v>
      </c>
      <c r="H801" t="s">
        <v>77</v>
      </c>
      <c r="I801" t="s">
        <v>42</v>
      </c>
      <c r="J801" t="s">
        <v>107</v>
      </c>
      <c r="K801" t="s">
        <v>47</v>
      </c>
      <c r="L801" t="s">
        <v>114</v>
      </c>
      <c r="M801" t="s">
        <v>115</v>
      </c>
      <c r="N801" t="s">
        <v>44</v>
      </c>
      <c r="O801" s="3">
        <v>17.37</v>
      </c>
      <c r="P801">
        <v>1</v>
      </c>
      <c r="Q801" s="4">
        <v>0</v>
      </c>
      <c r="R801" s="3">
        <v>17.37</v>
      </c>
      <c r="S801" s="3">
        <v>6.89</v>
      </c>
      <c r="T801" s="3">
        <v>6.89</v>
      </c>
      <c r="U801" s="3">
        <v>10.48</v>
      </c>
      <c r="V801" s="5">
        <v>0.60333909038572253</v>
      </c>
      <c r="W801">
        <v>7</v>
      </c>
      <c r="X801" t="s">
        <v>58</v>
      </c>
      <c r="Y801" s="6">
        <v>3</v>
      </c>
    </row>
    <row r="802" spans="1:25">
      <c r="A802" t="s">
        <v>1193</v>
      </c>
      <c r="B802" s="2">
        <v>45904</v>
      </c>
      <c r="C802">
        <v>2025</v>
      </c>
      <c r="D802" t="s">
        <v>369</v>
      </c>
      <c r="E802" t="s">
        <v>458</v>
      </c>
      <c r="F802" t="s">
        <v>51</v>
      </c>
      <c r="G802" t="s">
        <v>52</v>
      </c>
      <c r="H802" t="s">
        <v>53</v>
      </c>
      <c r="I802" t="s">
        <v>71</v>
      </c>
      <c r="J802" t="s">
        <v>148</v>
      </c>
      <c r="K802" t="s">
        <v>61</v>
      </c>
      <c r="L802" t="s">
        <v>80</v>
      </c>
      <c r="M802" t="s">
        <v>187</v>
      </c>
      <c r="N802" t="s">
        <v>44</v>
      </c>
      <c r="O802" s="3">
        <v>1288.73</v>
      </c>
      <c r="P802">
        <v>3</v>
      </c>
      <c r="Q802" s="4">
        <v>0.05</v>
      </c>
      <c r="R802" s="3">
        <v>3672.8804999999998</v>
      </c>
      <c r="S802" s="3">
        <v>873.67</v>
      </c>
      <c r="T802" s="3">
        <v>2621.0099999999998</v>
      </c>
      <c r="U802" s="3">
        <v>1051.8705</v>
      </c>
      <c r="V802" s="5">
        <v>0.28638843545277337</v>
      </c>
      <c r="W802">
        <v>6</v>
      </c>
      <c r="X802" t="s">
        <v>37</v>
      </c>
      <c r="Y802" s="6">
        <v>4</v>
      </c>
    </row>
    <row r="803" spans="1:25">
      <c r="A803" t="s">
        <v>1194</v>
      </c>
      <c r="B803" s="2">
        <v>45905</v>
      </c>
      <c r="C803">
        <v>2025</v>
      </c>
      <c r="D803" t="s">
        <v>369</v>
      </c>
      <c r="E803" t="s">
        <v>458</v>
      </c>
      <c r="F803" t="s">
        <v>51</v>
      </c>
      <c r="G803" t="s">
        <v>52</v>
      </c>
      <c r="H803" t="s">
        <v>102</v>
      </c>
      <c r="I803" t="s">
        <v>31</v>
      </c>
      <c r="J803" t="s">
        <v>410</v>
      </c>
      <c r="K803" t="s">
        <v>61</v>
      </c>
      <c r="L803" t="s">
        <v>80</v>
      </c>
      <c r="M803" t="s">
        <v>81</v>
      </c>
      <c r="N803" t="s">
        <v>36</v>
      </c>
      <c r="O803" s="3">
        <v>1032.42</v>
      </c>
      <c r="P803">
        <v>4</v>
      </c>
      <c r="Q803" s="4">
        <v>0</v>
      </c>
      <c r="R803" s="3">
        <v>4129.68</v>
      </c>
      <c r="S803" s="3">
        <v>657.49</v>
      </c>
      <c r="T803" s="3">
        <v>2629.96</v>
      </c>
      <c r="U803" s="3">
        <v>1499.7200000000003</v>
      </c>
      <c r="V803" s="5">
        <v>0.36315646732918777</v>
      </c>
      <c r="W803">
        <v>2</v>
      </c>
      <c r="X803" t="s">
        <v>37</v>
      </c>
      <c r="Y803" s="6">
        <v>5</v>
      </c>
    </row>
    <row r="804" spans="1:25">
      <c r="A804" t="s">
        <v>1195</v>
      </c>
      <c r="B804" s="2">
        <v>45906</v>
      </c>
      <c r="C804">
        <v>2025</v>
      </c>
      <c r="D804" t="s">
        <v>369</v>
      </c>
      <c r="E804" t="s">
        <v>458</v>
      </c>
      <c r="F804" t="s">
        <v>65</v>
      </c>
      <c r="G804" t="s">
        <v>66</v>
      </c>
      <c r="H804" t="s">
        <v>67</v>
      </c>
      <c r="I804" t="s">
        <v>71</v>
      </c>
      <c r="J804" t="s">
        <v>807</v>
      </c>
      <c r="K804" t="s">
        <v>61</v>
      </c>
      <c r="L804" t="s">
        <v>84</v>
      </c>
      <c r="M804" t="s">
        <v>135</v>
      </c>
      <c r="N804" t="s">
        <v>36</v>
      </c>
      <c r="O804" s="3">
        <v>886.53</v>
      </c>
      <c r="P804">
        <v>3</v>
      </c>
      <c r="Q804" s="4">
        <v>0.05</v>
      </c>
      <c r="R804" s="3">
        <v>2526.6105000000002</v>
      </c>
      <c r="S804" s="3">
        <v>573.01</v>
      </c>
      <c r="T804" s="3">
        <v>1719.03</v>
      </c>
      <c r="U804" s="3">
        <v>807.58050000000026</v>
      </c>
      <c r="V804" s="5">
        <v>0.31962999441346429</v>
      </c>
      <c r="W804">
        <v>2</v>
      </c>
      <c r="X804" t="s">
        <v>37</v>
      </c>
      <c r="Y804" s="6">
        <v>5</v>
      </c>
    </row>
    <row r="805" spans="1:25">
      <c r="A805" t="s">
        <v>1196</v>
      </c>
      <c r="B805" s="2">
        <v>45907</v>
      </c>
      <c r="C805">
        <v>2025</v>
      </c>
      <c r="D805" t="s">
        <v>369</v>
      </c>
      <c r="E805" t="s">
        <v>458</v>
      </c>
      <c r="F805" t="s">
        <v>39</v>
      </c>
      <c r="G805" t="s">
        <v>91</v>
      </c>
      <c r="H805" t="s">
        <v>92</v>
      </c>
      <c r="I805" t="s">
        <v>31</v>
      </c>
      <c r="J805" t="s">
        <v>260</v>
      </c>
      <c r="K805" t="s">
        <v>47</v>
      </c>
      <c r="L805" t="s">
        <v>48</v>
      </c>
      <c r="M805" t="s">
        <v>104</v>
      </c>
      <c r="N805" t="s">
        <v>44</v>
      </c>
      <c r="O805" s="3">
        <v>55.26</v>
      </c>
      <c r="P805">
        <v>11</v>
      </c>
      <c r="Q805" s="4">
        <v>0.2</v>
      </c>
      <c r="R805" s="3">
        <v>486.28800000000001</v>
      </c>
      <c r="S805" s="3">
        <v>30.67</v>
      </c>
      <c r="T805" s="3">
        <v>337.37</v>
      </c>
      <c r="U805" s="3">
        <v>148.91800000000001</v>
      </c>
      <c r="V805" s="5">
        <v>0.30623416576185308</v>
      </c>
      <c r="W805">
        <v>3</v>
      </c>
      <c r="X805" t="s">
        <v>37</v>
      </c>
      <c r="Y805" s="6">
        <v>5</v>
      </c>
    </row>
    <row r="806" spans="1:25">
      <c r="A806" t="s">
        <v>1197</v>
      </c>
      <c r="B806" s="2">
        <v>45907</v>
      </c>
      <c r="C806">
        <v>2025</v>
      </c>
      <c r="D806" t="s">
        <v>369</v>
      </c>
      <c r="E806" t="s">
        <v>458</v>
      </c>
      <c r="F806" t="s">
        <v>51</v>
      </c>
      <c r="G806" t="s">
        <v>52</v>
      </c>
      <c r="H806" t="s">
        <v>53</v>
      </c>
      <c r="I806" t="s">
        <v>42</v>
      </c>
      <c r="J806" t="s">
        <v>320</v>
      </c>
      <c r="K806" t="s">
        <v>61</v>
      </c>
      <c r="L806" t="s">
        <v>84</v>
      </c>
      <c r="M806" t="s">
        <v>135</v>
      </c>
      <c r="N806" t="s">
        <v>44</v>
      </c>
      <c r="O806" s="3">
        <v>869.48</v>
      </c>
      <c r="P806">
        <v>3</v>
      </c>
      <c r="Q806" s="4">
        <v>0.2</v>
      </c>
      <c r="R806" s="3">
        <v>2086.752</v>
      </c>
      <c r="S806" s="3">
        <v>571.34</v>
      </c>
      <c r="T806" s="3">
        <v>1714.02</v>
      </c>
      <c r="U806" s="3">
        <v>372.73199999999997</v>
      </c>
      <c r="V806" s="5">
        <v>0.1786182545889497</v>
      </c>
      <c r="W806">
        <v>5</v>
      </c>
      <c r="X806" t="s">
        <v>37</v>
      </c>
      <c r="Y806" s="6">
        <v>4</v>
      </c>
    </row>
    <row r="807" spans="1:25">
      <c r="A807" t="s">
        <v>1198</v>
      </c>
      <c r="B807" s="2">
        <v>45909</v>
      </c>
      <c r="C807">
        <v>2025</v>
      </c>
      <c r="D807" t="s">
        <v>369</v>
      </c>
      <c r="E807" t="s">
        <v>458</v>
      </c>
      <c r="F807" t="s">
        <v>28</v>
      </c>
      <c r="G807" t="s">
        <v>29</v>
      </c>
      <c r="H807" t="s">
        <v>106</v>
      </c>
      <c r="I807" t="s">
        <v>42</v>
      </c>
      <c r="J807" t="s">
        <v>146</v>
      </c>
      <c r="K807" t="s">
        <v>47</v>
      </c>
      <c r="L807" t="s">
        <v>48</v>
      </c>
      <c r="M807" t="s">
        <v>49</v>
      </c>
      <c r="N807" t="s">
        <v>36</v>
      </c>
      <c r="O807" s="3">
        <v>31.53</v>
      </c>
      <c r="P807">
        <v>10</v>
      </c>
      <c r="Q807" s="4">
        <v>0.05</v>
      </c>
      <c r="R807" s="3">
        <v>299.53500000000003</v>
      </c>
      <c r="S807" s="3">
        <v>13.72</v>
      </c>
      <c r="T807" s="3">
        <v>137.20000000000002</v>
      </c>
      <c r="U807" s="3">
        <v>162.33500000000001</v>
      </c>
      <c r="V807" s="5">
        <v>0.5419566995509707</v>
      </c>
      <c r="W807">
        <v>5</v>
      </c>
      <c r="X807" t="s">
        <v>58</v>
      </c>
      <c r="Y807" s="6">
        <v>3</v>
      </c>
    </row>
    <row r="808" spans="1:25">
      <c r="A808" t="s">
        <v>1199</v>
      </c>
      <c r="B808" s="2">
        <v>45910</v>
      </c>
      <c r="C808">
        <v>2025</v>
      </c>
      <c r="D808" t="s">
        <v>369</v>
      </c>
      <c r="E808" t="s">
        <v>458</v>
      </c>
      <c r="F808" t="s">
        <v>28</v>
      </c>
      <c r="G808" t="s">
        <v>29</v>
      </c>
      <c r="H808" t="s">
        <v>30</v>
      </c>
      <c r="I808" t="s">
        <v>42</v>
      </c>
      <c r="J808" t="s">
        <v>181</v>
      </c>
      <c r="K808" t="s">
        <v>61</v>
      </c>
      <c r="L808" t="s">
        <v>62</v>
      </c>
      <c r="M808" t="s">
        <v>195</v>
      </c>
      <c r="N808" t="s">
        <v>44</v>
      </c>
      <c r="O808" s="3">
        <v>71.790000000000006</v>
      </c>
      <c r="P808">
        <v>2</v>
      </c>
      <c r="Q808" s="4">
        <v>0.15</v>
      </c>
      <c r="R808" s="3">
        <v>122.04300000000001</v>
      </c>
      <c r="S808" s="3">
        <v>31.36</v>
      </c>
      <c r="T808" s="3">
        <v>62.72</v>
      </c>
      <c r="U808" s="3">
        <v>59.323000000000008</v>
      </c>
      <c r="V808" s="5">
        <v>0.48608277410420919</v>
      </c>
      <c r="W808">
        <v>1</v>
      </c>
      <c r="X808" t="s">
        <v>37</v>
      </c>
      <c r="Y808" s="6">
        <v>5</v>
      </c>
    </row>
    <row r="809" spans="1:25">
      <c r="A809" t="s">
        <v>1200</v>
      </c>
      <c r="B809" s="2">
        <v>45912</v>
      </c>
      <c r="C809">
        <v>2025</v>
      </c>
      <c r="D809" t="s">
        <v>369</v>
      </c>
      <c r="E809" t="s">
        <v>458</v>
      </c>
      <c r="F809" t="s">
        <v>51</v>
      </c>
      <c r="G809" t="s">
        <v>52</v>
      </c>
      <c r="H809" t="s">
        <v>102</v>
      </c>
      <c r="I809" t="s">
        <v>78</v>
      </c>
      <c r="J809" t="s">
        <v>592</v>
      </c>
      <c r="K809" t="s">
        <v>61</v>
      </c>
      <c r="L809" t="s">
        <v>80</v>
      </c>
      <c r="M809" t="s">
        <v>81</v>
      </c>
      <c r="N809" t="s">
        <v>36</v>
      </c>
      <c r="O809" s="3">
        <v>997.09</v>
      </c>
      <c r="P809">
        <v>1</v>
      </c>
      <c r="Q809" s="4">
        <v>0</v>
      </c>
      <c r="R809" s="3">
        <v>997.09</v>
      </c>
      <c r="S809" s="3">
        <v>653.82000000000005</v>
      </c>
      <c r="T809" s="3">
        <v>653.82000000000005</v>
      </c>
      <c r="U809" s="3">
        <v>343.27</v>
      </c>
      <c r="V809" s="5">
        <v>0.34427183102829229</v>
      </c>
      <c r="W809">
        <v>1</v>
      </c>
      <c r="X809" t="s">
        <v>37</v>
      </c>
      <c r="Y809" s="6">
        <v>5</v>
      </c>
    </row>
    <row r="810" spans="1:25">
      <c r="A810" t="s">
        <v>1201</v>
      </c>
      <c r="B810" s="2">
        <v>45912</v>
      </c>
      <c r="C810">
        <v>2025</v>
      </c>
      <c r="D810" t="s">
        <v>369</v>
      </c>
      <c r="E810" t="s">
        <v>458</v>
      </c>
      <c r="F810" t="s">
        <v>65</v>
      </c>
      <c r="G810" t="s">
        <v>76</v>
      </c>
      <c r="H810" t="s">
        <v>126</v>
      </c>
      <c r="I810" t="s">
        <v>71</v>
      </c>
      <c r="J810" t="s">
        <v>273</v>
      </c>
      <c r="K810" t="s">
        <v>33</v>
      </c>
      <c r="L810" t="s">
        <v>34</v>
      </c>
      <c r="M810" t="s">
        <v>35</v>
      </c>
      <c r="N810" t="s">
        <v>44</v>
      </c>
      <c r="O810" s="3">
        <v>174.21</v>
      </c>
      <c r="P810">
        <v>2</v>
      </c>
      <c r="Q810" s="4">
        <v>0.05</v>
      </c>
      <c r="R810" s="3">
        <v>330.99900000000002</v>
      </c>
      <c r="S810" s="3">
        <v>94.45</v>
      </c>
      <c r="T810" s="3">
        <v>188.9</v>
      </c>
      <c r="U810" s="3">
        <v>142.09900000000002</v>
      </c>
      <c r="V810" s="5">
        <v>0.42930341179278492</v>
      </c>
      <c r="W810">
        <v>3</v>
      </c>
      <c r="X810" t="s">
        <v>37</v>
      </c>
      <c r="Y810" s="6">
        <v>5</v>
      </c>
    </row>
    <row r="811" spans="1:25">
      <c r="A811" t="s">
        <v>1202</v>
      </c>
      <c r="B811" s="2">
        <v>45913</v>
      </c>
      <c r="C811">
        <v>2025</v>
      </c>
      <c r="D811" t="s">
        <v>369</v>
      </c>
      <c r="E811" t="s">
        <v>458</v>
      </c>
      <c r="F811" t="s">
        <v>51</v>
      </c>
      <c r="G811" t="s">
        <v>52</v>
      </c>
      <c r="H811" t="s">
        <v>102</v>
      </c>
      <c r="I811" t="s">
        <v>78</v>
      </c>
      <c r="J811" t="s">
        <v>203</v>
      </c>
      <c r="K811" t="s">
        <v>61</v>
      </c>
      <c r="L811" t="s">
        <v>62</v>
      </c>
      <c r="M811" t="s">
        <v>195</v>
      </c>
      <c r="N811" t="s">
        <v>44</v>
      </c>
      <c r="O811" s="3">
        <v>77.290000000000006</v>
      </c>
      <c r="P811">
        <v>5</v>
      </c>
      <c r="Q811" s="4">
        <v>0</v>
      </c>
      <c r="R811" s="3">
        <v>386.45000000000005</v>
      </c>
      <c r="S811" s="3">
        <v>31.77</v>
      </c>
      <c r="T811" s="3">
        <v>158.85</v>
      </c>
      <c r="U811" s="3">
        <v>227.60000000000005</v>
      </c>
      <c r="V811" s="5">
        <v>0.58895070513649894</v>
      </c>
      <c r="W811">
        <v>2</v>
      </c>
      <c r="X811" t="s">
        <v>37</v>
      </c>
      <c r="Y811" s="6">
        <v>5</v>
      </c>
    </row>
    <row r="812" spans="1:25">
      <c r="A812" t="s">
        <v>1203</v>
      </c>
      <c r="B812" s="2">
        <v>45913</v>
      </c>
      <c r="C812">
        <v>2025</v>
      </c>
      <c r="D812" t="s">
        <v>369</v>
      </c>
      <c r="E812" t="s">
        <v>458</v>
      </c>
      <c r="F812" t="s">
        <v>65</v>
      </c>
      <c r="G812" t="s">
        <v>76</v>
      </c>
      <c r="H812" t="s">
        <v>126</v>
      </c>
      <c r="I812" t="s">
        <v>42</v>
      </c>
      <c r="J812" t="s">
        <v>379</v>
      </c>
      <c r="K812" t="s">
        <v>61</v>
      </c>
      <c r="L812" t="s">
        <v>62</v>
      </c>
      <c r="M812" t="s">
        <v>195</v>
      </c>
      <c r="N812" t="s">
        <v>57</v>
      </c>
      <c r="O812" s="3">
        <v>78.58</v>
      </c>
      <c r="P812">
        <v>5</v>
      </c>
      <c r="Q812" s="4">
        <v>0.2</v>
      </c>
      <c r="R812" s="3">
        <v>314.32</v>
      </c>
      <c r="S812" s="3">
        <v>31.26</v>
      </c>
      <c r="T812" s="3">
        <v>156.30000000000001</v>
      </c>
      <c r="U812" s="3">
        <v>158.01999999999998</v>
      </c>
      <c r="V812" s="5">
        <v>0.50273606515652836</v>
      </c>
      <c r="W812">
        <v>3</v>
      </c>
      <c r="X812" t="s">
        <v>37</v>
      </c>
      <c r="Y812" s="6">
        <v>5</v>
      </c>
    </row>
    <row r="813" spans="1:25">
      <c r="A813" t="s">
        <v>1204</v>
      </c>
      <c r="B813" s="2">
        <v>45915</v>
      </c>
      <c r="C813">
        <v>2025</v>
      </c>
      <c r="D813" t="s">
        <v>369</v>
      </c>
      <c r="E813" t="s">
        <v>458</v>
      </c>
      <c r="F813" t="s">
        <v>28</v>
      </c>
      <c r="G813" t="s">
        <v>29</v>
      </c>
      <c r="H813" t="s">
        <v>30</v>
      </c>
      <c r="I813" t="s">
        <v>71</v>
      </c>
      <c r="J813" t="s">
        <v>632</v>
      </c>
      <c r="K813" t="s">
        <v>33</v>
      </c>
      <c r="L813" t="s">
        <v>73</v>
      </c>
      <c r="M813" t="s">
        <v>74</v>
      </c>
      <c r="N813" t="s">
        <v>44</v>
      </c>
      <c r="O813" s="3">
        <v>715.95</v>
      </c>
      <c r="P813">
        <v>4</v>
      </c>
      <c r="Q813" s="4">
        <v>0.05</v>
      </c>
      <c r="R813" s="3">
        <v>2720.61</v>
      </c>
      <c r="S813" s="3">
        <v>409.15</v>
      </c>
      <c r="T813" s="3">
        <v>1636.6</v>
      </c>
      <c r="U813" s="3">
        <v>1084.0100000000002</v>
      </c>
      <c r="V813" s="5">
        <v>0.39844373136906802</v>
      </c>
      <c r="W813">
        <v>2</v>
      </c>
      <c r="X813" t="s">
        <v>37</v>
      </c>
      <c r="Y813" s="6">
        <v>5</v>
      </c>
    </row>
    <row r="814" spans="1:25">
      <c r="A814" t="s">
        <v>1205</v>
      </c>
      <c r="B814" s="2">
        <v>45915</v>
      </c>
      <c r="C814">
        <v>2025</v>
      </c>
      <c r="D814" t="s">
        <v>369</v>
      </c>
      <c r="E814" t="s">
        <v>458</v>
      </c>
      <c r="F814" t="s">
        <v>28</v>
      </c>
      <c r="G814" t="s">
        <v>29</v>
      </c>
      <c r="H814" t="s">
        <v>60</v>
      </c>
      <c r="I814" t="s">
        <v>71</v>
      </c>
      <c r="J814" t="s">
        <v>804</v>
      </c>
      <c r="K814" t="s">
        <v>61</v>
      </c>
      <c r="L814" t="s">
        <v>80</v>
      </c>
      <c r="M814" t="s">
        <v>187</v>
      </c>
      <c r="N814" t="s">
        <v>44</v>
      </c>
      <c r="O814" s="3">
        <v>1343.73</v>
      </c>
      <c r="P814">
        <v>2</v>
      </c>
      <c r="Q814" s="4">
        <v>0.2</v>
      </c>
      <c r="R814" s="3">
        <v>2149.9680000000003</v>
      </c>
      <c r="S814" s="3">
        <v>825.75</v>
      </c>
      <c r="T814" s="3">
        <v>1651.5</v>
      </c>
      <c r="U814" s="3">
        <v>498.4680000000003</v>
      </c>
      <c r="V814" s="5">
        <v>0.23184903217164174</v>
      </c>
      <c r="W814">
        <v>7</v>
      </c>
      <c r="X814" t="s">
        <v>37</v>
      </c>
      <c r="Y814" s="6">
        <v>4</v>
      </c>
    </row>
    <row r="815" spans="1:25">
      <c r="A815" t="s">
        <v>1206</v>
      </c>
      <c r="B815" s="2">
        <v>45919</v>
      </c>
      <c r="C815">
        <v>2025</v>
      </c>
      <c r="D815" t="s">
        <v>369</v>
      </c>
      <c r="E815" t="s">
        <v>458</v>
      </c>
      <c r="F815" t="s">
        <v>28</v>
      </c>
      <c r="G815" t="s">
        <v>29</v>
      </c>
      <c r="H815" t="s">
        <v>60</v>
      </c>
      <c r="I815" t="s">
        <v>71</v>
      </c>
      <c r="J815" t="s">
        <v>623</v>
      </c>
      <c r="K815" t="s">
        <v>33</v>
      </c>
      <c r="L815" t="s">
        <v>73</v>
      </c>
      <c r="M815" t="s">
        <v>138</v>
      </c>
      <c r="N815" t="s">
        <v>57</v>
      </c>
      <c r="O815" s="3">
        <v>318.42</v>
      </c>
      <c r="P815">
        <v>3</v>
      </c>
      <c r="Q815" s="4">
        <v>0</v>
      </c>
      <c r="R815" s="3">
        <v>955.26</v>
      </c>
      <c r="S815" s="3">
        <v>177.08</v>
      </c>
      <c r="T815" s="3">
        <v>531.24</v>
      </c>
      <c r="U815" s="3">
        <v>424.02</v>
      </c>
      <c r="V815" s="5">
        <v>0.44387915331951511</v>
      </c>
      <c r="W815">
        <v>5</v>
      </c>
      <c r="X815" t="s">
        <v>37</v>
      </c>
      <c r="Y815" s="6">
        <v>4</v>
      </c>
    </row>
    <row r="816" spans="1:25">
      <c r="A816" t="s">
        <v>1207</v>
      </c>
      <c r="B816" s="2">
        <v>45919</v>
      </c>
      <c r="C816">
        <v>2025</v>
      </c>
      <c r="D816" t="s">
        <v>369</v>
      </c>
      <c r="E816" t="s">
        <v>458</v>
      </c>
      <c r="F816" t="s">
        <v>39</v>
      </c>
      <c r="G816" t="s">
        <v>111</v>
      </c>
      <c r="H816" t="s">
        <v>112</v>
      </c>
      <c r="I816" t="s">
        <v>42</v>
      </c>
      <c r="J816" t="s">
        <v>999</v>
      </c>
      <c r="K816" t="s">
        <v>61</v>
      </c>
      <c r="L816" t="s">
        <v>84</v>
      </c>
      <c r="M816" t="s">
        <v>135</v>
      </c>
      <c r="N816" t="s">
        <v>44</v>
      </c>
      <c r="O816" s="3">
        <v>934.33</v>
      </c>
      <c r="P816">
        <v>2</v>
      </c>
      <c r="Q816" s="4">
        <v>0.2</v>
      </c>
      <c r="R816" s="3">
        <v>1494.9280000000001</v>
      </c>
      <c r="S816" s="3">
        <v>558.29999999999995</v>
      </c>
      <c r="T816" s="3">
        <v>1116.5999999999999</v>
      </c>
      <c r="U816" s="3">
        <v>378.3280000000002</v>
      </c>
      <c r="V816" s="5">
        <v>0.25307439555617406</v>
      </c>
      <c r="W816">
        <v>2</v>
      </c>
      <c r="X816" t="s">
        <v>37</v>
      </c>
      <c r="Y816" s="6">
        <v>5</v>
      </c>
    </row>
    <row r="817" spans="1:25">
      <c r="A817" t="s">
        <v>1208</v>
      </c>
      <c r="B817" s="2">
        <v>45919</v>
      </c>
      <c r="C817">
        <v>2025</v>
      </c>
      <c r="D817" t="s">
        <v>369</v>
      </c>
      <c r="E817" t="s">
        <v>458</v>
      </c>
      <c r="F817" t="s">
        <v>65</v>
      </c>
      <c r="G817" t="s">
        <v>76</v>
      </c>
      <c r="H817" t="s">
        <v>126</v>
      </c>
      <c r="I817" t="s">
        <v>71</v>
      </c>
      <c r="J817" t="s">
        <v>724</v>
      </c>
      <c r="K817" t="s">
        <v>61</v>
      </c>
      <c r="L817" t="s">
        <v>84</v>
      </c>
      <c r="M817" t="s">
        <v>135</v>
      </c>
      <c r="N817" t="s">
        <v>44</v>
      </c>
      <c r="O817" s="3">
        <v>913.44</v>
      </c>
      <c r="P817">
        <v>2</v>
      </c>
      <c r="Q817" s="4">
        <v>0.1</v>
      </c>
      <c r="R817" s="3">
        <v>1644.1920000000002</v>
      </c>
      <c r="S817" s="3">
        <v>554.75</v>
      </c>
      <c r="T817" s="3">
        <v>1109.5</v>
      </c>
      <c r="U817" s="3">
        <v>534.69200000000023</v>
      </c>
      <c r="V817" s="5">
        <v>0.32520046320624363</v>
      </c>
      <c r="W817">
        <v>5</v>
      </c>
      <c r="X817" t="s">
        <v>37</v>
      </c>
      <c r="Y817" s="6">
        <v>4</v>
      </c>
    </row>
    <row r="818" spans="1:25">
      <c r="A818" t="s">
        <v>1209</v>
      </c>
      <c r="B818" s="2">
        <v>45919</v>
      </c>
      <c r="C818">
        <v>2025</v>
      </c>
      <c r="D818" t="s">
        <v>369</v>
      </c>
      <c r="E818" t="s">
        <v>458</v>
      </c>
      <c r="F818" t="s">
        <v>51</v>
      </c>
      <c r="G818" t="s">
        <v>52</v>
      </c>
      <c r="H818" t="s">
        <v>102</v>
      </c>
      <c r="I818" t="s">
        <v>31</v>
      </c>
      <c r="J818" t="s">
        <v>117</v>
      </c>
      <c r="K818" t="s">
        <v>33</v>
      </c>
      <c r="L818" t="s">
        <v>73</v>
      </c>
      <c r="M818" t="s">
        <v>74</v>
      </c>
      <c r="N818" t="s">
        <v>57</v>
      </c>
      <c r="O818" s="3">
        <v>696.47</v>
      </c>
      <c r="P818">
        <v>3</v>
      </c>
      <c r="Q818" s="4">
        <v>0.1</v>
      </c>
      <c r="R818" s="3">
        <v>1880.4689999999998</v>
      </c>
      <c r="S818" s="3">
        <v>413.66</v>
      </c>
      <c r="T818" s="3">
        <v>1240.98</v>
      </c>
      <c r="U818" s="3">
        <v>639.48899999999981</v>
      </c>
      <c r="V818" s="5">
        <v>0.34006888707019362</v>
      </c>
      <c r="W818">
        <v>7</v>
      </c>
      <c r="X818" t="s">
        <v>37</v>
      </c>
      <c r="Y818" s="6">
        <v>4</v>
      </c>
    </row>
    <row r="819" spans="1:25">
      <c r="A819" t="s">
        <v>1210</v>
      </c>
      <c r="B819" s="2">
        <v>45919</v>
      </c>
      <c r="C819">
        <v>2025</v>
      </c>
      <c r="D819" t="s">
        <v>369</v>
      </c>
      <c r="E819" t="s">
        <v>458</v>
      </c>
      <c r="F819" t="s">
        <v>65</v>
      </c>
      <c r="G819" t="s">
        <v>66</v>
      </c>
      <c r="H819" t="s">
        <v>67</v>
      </c>
      <c r="I819" t="s">
        <v>31</v>
      </c>
      <c r="J819" t="s">
        <v>666</v>
      </c>
      <c r="K819" t="s">
        <v>33</v>
      </c>
      <c r="L819" t="s">
        <v>88</v>
      </c>
      <c r="M819" t="s">
        <v>100</v>
      </c>
      <c r="N819" t="s">
        <v>36</v>
      </c>
      <c r="O819" s="3">
        <v>304.89999999999998</v>
      </c>
      <c r="P819">
        <v>4</v>
      </c>
      <c r="Q819" s="4">
        <v>0.15</v>
      </c>
      <c r="R819" s="3">
        <v>1036.6599999999999</v>
      </c>
      <c r="S819" s="3">
        <v>151.16</v>
      </c>
      <c r="T819" s="3">
        <v>604.64</v>
      </c>
      <c r="U819" s="3">
        <v>432.01999999999987</v>
      </c>
      <c r="V819" s="5">
        <v>0.41674222985356812</v>
      </c>
      <c r="W819">
        <v>6</v>
      </c>
      <c r="X819" t="s">
        <v>37</v>
      </c>
      <c r="Y819" s="6">
        <v>4</v>
      </c>
    </row>
    <row r="820" spans="1:25">
      <c r="A820" t="s">
        <v>1211</v>
      </c>
      <c r="B820" s="2">
        <v>45923</v>
      </c>
      <c r="C820">
        <v>2025</v>
      </c>
      <c r="D820" t="s">
        <v>369</v>
      </c>
      <c r="E820" t="s">
        <v>458</v>
      </c>
      <c r="F820" t="s">
        <v>39</v>
      </c>
      <c r="G820" t="s">
        <v>111</v>
      </c>
      <c r="H820" t="s">
        <v>112</v>
      </c>
      <c r="I820" t="s">
        <v>78</v>
      </c>
      <c r="J820" t="s">
        <v>990</v>
      </c>
      <c r="K820" t="s">
        <v>47</v>
      </c>
      <c r="L820" t="s">
        <v>48</v>
      </c>
      <c r="M820" t="s">
        <v>104</v>
      </c>
      <c r="N820" t="s">
        <v>44</v>
      </c>
      <c r="O820" s="3">
        <v>51.6</v>
      </c>
      <c r="P820">
        <v>8</v>
      </c>
      <c r="Q820" s="4">
        <v>0</v>
      </c>
      <c r="R820" s="3">
        <v>412.8</v>
      </c>
      <c r="S820" s="3">
        <v>31.34</v>
      </c>
      <c r="T820" s="3">
        <v>250.72</v>
      </c>
      <c r="U820" s="3">
        <v>162.08000000000001</v>
      </c>
      <c r="V820" s="5">
        <v>0.39263565891472868</v>
      </c>
      <c r="W820">
        <v>4</v>
      </c>
      <c r="X820" t="s">
        <v>37</v>
      </c>
      <c r="Y820" s="6">
        <v>5</v>
      </c>
    </row>
    <row r="821" spans="1:25">
      <c r="A821" t="s">
        <v>1212</v>
      </c>
      <c r="B821" s="2">
        <v>45923</v>
      </c>
      <c r="C821">
        <v>2025</v>
      </c>
      <c r="D821" t="s">
        <v>369</v>
      </c>
      <c r="E821" t="s">
        <v>458</v>
      </c>
      <c r="F821" t="s">
        <v>39</v>
      </c>
      <c r="G821" t="s">
        <v>111</v>
      </c>
      <c r="H821" t="s">
        <v>112</v>
      </c>
      <c r="I821" t="s">
        <v>78</v>
      </c>
      <c r="J821" t="s">
        <v>852</v>
      </c>
      <c r="K821" t="s">
        <v>33</v>
      </c>
      <c r="L821" t="s">
        <v>34</v>
      </c>
      <c r="M821" t="s">
        <v>150</v>
      </c>
      <c r="N821" t="s">
        <v>57</v>
      </c>
      <c r="O821" s="3">
        <v>428.45</v>
      </c>
      <c r="P821">
        <v>2</v>
      </c>
      <c r="Q821" s="4">
        <v>0</v>
      </c>
      <c r="R821" s="3">
        <v>856.9</v>
      </c>
      <c r="S821" s="3">
        <v>253.09</v>
      </c>
      <c r="T821" s="3">
        <v>506.18</v>
      </c>
      <c r="U821" s="3">
        <v>350.71999999999997</v>
      </c>
      <c r="V821" s="5">
        <v>0.40928929863461311</v>
      </c>
      <c r="W821">
        <v>3</v>
      </c>
      <c r="X821" t="s">
        <v>37</v>
      </c>
      <c r="Y821" s="6">
        <v>4</v>
      </c>
    </row>
    <row r="822" spans="1:25">
      <c r="A822" t="s">
        <v>1213</v>
      </c>
      <c r="B822" s="2">
        <v>45923</v>
      </c>
      <c r="C822">
        <v>2025</v>
      </c>
      <c r="D822" t="s">
        <v>369</v>
      </c>
      <c r="E822" t="s">
        <v>458</v>
      </c>
      <c r="F822" t="s">
        <v>28</v>
      </c>
      <c r="G822" t="s">
        <v>29</v>
      </c>
      <c r="H822" t="s">
        <v>30</v>
      </c>
      <c r="I822" t="s">
        <v>31</v>
      </c>
      <c r="J822" t="s">
        <v>173</v>
      </c>
      <c r="K822" t="s">
        <v>47</v>
      </c>
      <c r="L822" t="s">
        <v>114</v>
      </c>
      <c r="M822" t="s">
        <v>120</v>
      </c>
      <c r="N822" t="s">
        <v>36</v>
      </c>
      <c r="O822" s="3">
        <v>25.93</v>
      </c>
      <c r="P822">
        <v>4</v>
      </c>
      <c r="Q822" s="4">
        <v>0</v>
      </c>
      <c r="R822" s="3">
        <v>103.72</v>
      </c>
      <c r="S822" s="3">
        <v>11.11</v>
      </c>
      <c r="T822" s="3">
        <v>44.44</v>
      </c>
      <c r="U822" s="3">
        <v>59.28</v>
      </c>
      <c r="V822" s="5">
        <v>0.57153875819514077</v>
      </c>
      <c r="W822">
        <v>5</v>
      </c>
      <c r="X822" t="s">
        <v>37</v>
      </c>
      <c r="Y822" s="6">
        <v>4</v>
      </c>
    </row>
    <row r="823" spans="1:25">
      <c r="A823" t="s">
        <v>1214</v>
      </c>
      <c r="B823" s="2">
        <v>45923</v>
      </c>
      <c r="C823">
        <v>2025</v>
      </c>
      <c r="D823" t="s">
        <v>369</v>
      </c>
      <c r="E823" t="s">
        <v>458</v>
      </c>
      <c r="F823" t="s">
        <v>51</v>
      </c>
      <c r="G823" t="s">
        <v>52</v>
      </c>
      <c r="H823" t="s">
        <v>53</v>
      </c>
      <c r="I823" t="s">
        <v>42</v>
      </c>
      <c r="J823" t="s">
        <v>201</v>
      </c>
      <c r="K823" t="s">
        <v>47</v>
      </c>
      <c r="L823" t="s">
        <v>55</v>
      </c>
      <c r="M823" t="s">
        <v>56</v>
      </c>
      <c r="N823" t="s">
        <v>36</v>
      </c>
      <c r="O823" s="3">
        <v>38.21</v>
      </c>
      <c r="P823">
        <v>8</v>
      </c>
      <c r="Q823" s="4">
        <v>0</v>
      </c>
      <c r="R823" s="3">
        <v>305.68</v>
      </c>
      <c r="S823" s="3">
        <v>16.600000000000001</v>
      </c>
      <c r="T823" s="3">
        <v>132.80000000000001</v>
      </c>
      <c r="U823" s="3">
        <v>172.88</v>
      </c>
      <c r="V823" s="5">
        <v>0.56555875425281332</v>
      </c>
      <c r="W823">
        <v>9</v>
      </c>
      <c r="X823" t="s">
        <v>37</v>
      </c>
      <c r="Y823" s="6">
        <v>4</v>
      </c>
    </row>
    <row r="824" spans="1:25">
      <c r="A824" t="s">
        <v>1215</v>
      </c>
      <c r="B824" s="2">
        <v>45927</v>
      </c>
      <c r="C824">
        <v>2025</v>
      </c>
      <c r="D824" t="s">
        <v>369</v>
      </c>
      <c r="E824" t="s">
        <v>458</v>
      </c>
      <c r="F824" t="s">
        <v>51</v>
      </c>
      <c r="G824" t="s">
        <v>97</v>
      </c>
      <c r="H824" t="s">
        <v>98</v>
      </c>
      <c r="I824" t="s">
        <v>71</v>
      </c>
      <c r="J824" t="s">
        <v>397</v>
      </c>
      <c r="K824" t="s">
        <v>33</v>
      </c>
      <c r="L824" t="s">
        <v>88</v>
      </c>
      <c r="M824" t="s">
        <v>89</v>
      </c>
      <c r="N824" t="s">
        <v>57</v>
      </c>
      <c r="O824" s="3">
        <v>244.3</v>
      </c>
      <c r="P824">
        <v>3</v>
      </c>
      <c r="Q824" s="4">
        <v>0</v>
      </c>
      <c r="R824" s="3">
        <v>732.90000000000009</v>
      </c>
      <c r="S824" s="3">
        <v>126.42</v>
      </c>
      <c r="T824" s="3">
        <v>379.26</v>
      </c>
      <c r="U824" s="3">
        <v>353.6400000000001</v>
      </c>
      <c r="V824" s="5">
        <v>0.48252148997134681</v>
      </c>
      <c r="W824">
        <v>9</v>
      </c>
      <c r="X824" t="s">
        <v>37</v>
      </c>
      <c r="Y824" s="6">
        <v>4</v>
      </c>
    </row>
    <row r="825" spans="1:25">
      <c r="A825" t="s">
        <v>1216</v>
      </c>
      <c r="B825" s="2">
        <v>45929</v>
      </c>
      <c r="C825">
        <v>2025</v>
      </c>
      <c r="D825" t="s">
        <v>369</v>
      </c>
      <c r="E825" t="s">
        <v>458</v>
      </c>
      <c r="F825" t="s">
        <v>51</v>
      </c>
      <c r="G825" t="s">
        <v>52</v>
      </c>
      <c r="H825" t="s">
        <v>102</v>
      </c>
      <c r="I825" t="s">
        <v>78</v>
      </c>
      <c r="J825" t="s">
        <v>248</v>
      </c>
      <c r="K825" t="s">
        <v>47</v>
      </c>
      <c r="L825" t="s">
        <v>55</v>
      </c>
      <c r="M825" t="s">
        <v>56</v>
      </c>
      <c r="N825" t="s">
        <v>44</v>
      </c>
      <c r="O825" s="3">
        <v>39.11</v>
      </c>
      <c r="P825">
        <v>12</v>
      </c>
      <c r="Q825" s="4">
        <v>0.2</v>
      </c>
      <c r="R825" s="3">
        <v>375.45600000000002</v>
      </c>
      <c r="S825" s="3">
        <v>16.64</v>
      </c>
      <c r="T825" s="3">
        <v>199.68</v>
      </c>
      <c r="U825" s="3">
        <v>175.77600000000001</v>
      </c>
      <c r="V825" s="5">
        <v>0.46816670928151366</v>
      </c>
      <c r="W825">
        <v>10</v>
      </c>
      <c r="X825" t="s">
        <v>37</v>
      </c>
      <c r="Y825" s="6">
        <v>3</v>
      </c>
    </row>
    <row r="826" spans="1:25">
      <c r="A826" t="s">
        <v>1217</v>
      </c>
      <c r="B826" s="2">
        <v>45929</v>
      </c>
      <c r="C826">
        <v>2025</v>
      </c>
      <c r="D826" t="s">
        <v>369</v>
      </c>
      <c r="E826" t="s">
        <v>458</v>
      </c>
      <c r="F826" t="s">
        <v>28</v>
      </c>
      <c r="G826" t="s">
        <v>29</v>
      </c>
      <c r="H826" t="s">
        <v>30</v>
      </c>
      <c r="I826" t="s">
        <v>78</v>
      </c>
      <c r="J826" t="s">
        <v>113</v>
      </c>
      <c r="K826" t="s">
        <v>47</v>
      </c>
      <c r="L826" t="s">
        <v>48</v>
      </c>
      <c r="M826" t="s">
        <v>104</v>
      </c>
      <c r="N826" t="s">
        <v>36</v>
      </c>
      <c r="O826" s="3">
        <v>52.54</v>
      </c>
      <c r="P826">
        <v>12</v>
      </c>
      <c r="Q826" s="4">
        <v>0</v>
      </c>
      <c r="R826" s="3">
        <v>630.48</v>
      </c>
      <c r="S826" s="3">
        <v>30.61</v>
      </c>
      <c r="T826" s="3">
        <v>367.32</v>
      </c>
      <c r="U826" s="3">
        <v>263.16000000000003</v>
      </c>
      <c r="V826" s="5">
        <v>0.41739626950894559</v>
      </c>
      <c r="W826">
        <v>3</v>
      </c>
      <c r="X826" t="s">
        <v>37</v>
      </c>
      <c r="Y826" s="6">
        <v>5</v>
      </c>
    </row>
    <row r="827" spans="1:25">
      <c r="A827" t="s">
        <v>1218</v>
      </c>
      <c r="B827" s="2">
        <v>45930</v>
      </c>
      <c r="C827">
        <v>2025</v>
      </c>
      <c r="D827" t="s">
        <v>369</v>
      </c>
      <c r="E827" t="s">
        <v>458</v>
      </c>
      <c r="F827" t="s">
        <v>28</v>
      </c>
      <c r="G827" t="s">
        <v>29</v>
      </c>
      <c r="H827" t="s">
        <v>30</v>
      </c>
      <c r="I827" t="s">
        <v>31</v>
      </c>
      <c r="J827" t="s">
        <v>355</v>
      </c>
      <c r="K827" t="s">
        <v>33</v>
      </c>
      <c r="L827" t="s">
        <v>34</v>
      </c>
      <c r="M827" t="s">
        <v>35</v>
      </c>
      <c r="N827" t="s">
        <v>57</v>
      </c>
      <c r="O827" s="3">
        <v>179.08</v>
      </c>
      <c r="P827">
        <v>3</v>
      </c>
      <c r="Q827" s="4">
        <v>0</v>
      </c>
      <c r="R827" s="3">
        <v>537.24</v>
      </c>
      <c r="S827" s="3">
        <v>92.54</v>
      </c>
      <c r="T827" s="3">
        <v>277.62</v>
      </c>
      <c r="U827" s="3">
        <v>259.62</v>
      </c>
      <c r="V827" s="5">
        <v>0.4832477105204378</v>
      </c>
      <c r="W827">
        <v>1</v>
      </c>
      <c r="X827" t="s">
        <v>37</v>
      </c>
      <c r="Y827" s="6">
        <v>5</v>
      </c>
    </row>
    <row r="828" spans="1:25">
      <c r="A828" t="s">
        <v>1219</v>
      </c>
      <c r="B828" s="2">
        <v>45930</v>
      </c>
      <c r="C828">
        <v>2025</v>
      </c>
      <c r="D828" t="s">
        <v>369</v>
      </c>
      <c r="E828" t="s">
        <v>458</v>
      </c>
      <c r="F828" t="s">
        <v>65</v>
      </c>
      <c r="G828" t="s">
        <v>76</v>
      </c>
      <c r="H828" t="s">
        <v>77</v>
      </c>
      <c r="I828" t="s">
        <v>78</v>
      </c>
      <c r="J828" t="s">
        <v>516</v>
      </c>
      <c r="K828" t="s">
        <v>33</v>
      </c>
      <c r="L828" t="s">
        <v>34</v>
      </c>
      <c r="M828" t="s">
        <v>35</v>
      </c>
      <c r="N828" t="s">
        <v>36</v>
      </c>
      <c r="O828" s="3">
        <v>187.93</v>
      </c>
      <c r="P828">
        <v>5</v>
      </c>
      <c r="Q828" s="4">
        <v>0.1</v>
      </c>
      <c r="R828" s="3">
        <v>845.68500000000006</v>
      </c>
      <c r="S828" s="3">
        <v>93.93</v>
      </c>
      <c r="T828" s="3">
        <v>469.65000000000003</v>
      </c>
      <c r="U828" s="3">
        <v>376.03500000000003</v>
      </c>
      <c r="V828" s="5">
        <v>0.44465137728586884</v>
      </c>
      <c r="W828">
        <v>1</v>
      </c>
      <c r="X828" t="s">
        <v>58</v>
      </c>
      <c r="Y828" s="6">
        <v>3</v>
      </c>
    </row>
    <row r="829" spans="1:25">
      <c r="A829" t="s">
        <v>1220</v>
      </c>
      <c r="B829" s="2">
        <v>45931</v>
      </c>
      <c r="C829">
        <v>2025</v>
      </c>
      <c r="D829" t="s">
        <v>488</v>
      </c>
      <c r="E829" t="s">
        <v>489</v>
      </c>
      <c r="F829" t="s">
        <v>39</v>
      </c>
      <c r="G829" t="s">
        <v>40</v>
      </c>
      <c r="H829" t="s">
        <v>41</v>
      </c>
      <c r="I829" t="s">
        <v>42</v>
      </c>
      <c r="J829" t="s">
        <v>1052</v>
      </c>
      <c r="K829" t="s">
        <v>47</v>
      </c>
      <c r="L829" t="s">
        <v>55</v>
      </c>
      <c r="M829" t="s">
        <v>69</v>
      </c>
      <c r="N829" t="s">
        <v>44</v>
      </c>
      <c r="O829" s="3">
        <v>41.92</v>
      </c>
      <c r="P829">
        <v>11</v>
      </c>
      <c r="Q829" s="4">
        <v>0.05</v>
      </c>
      <c r="R829" s="3">
        <v>438.06399999999996</v>
      </c>
      <c r="S829" s="3">
        <v>21.68</v>
      </c>
      <c r="T829" s="3">
        <v>238.48</v>
      </c>
      <c r="U829" s="3">
        <v>199.58399999999997</v>
      </c>
      <c r="V829" s="5">
        <v>0.45560466050622739</v>
      </c>
      <c r="W829">
        <v>1</v>
      </c>
      <c r="X829" t="s">
        <v>37</v>
      </c>
      <c r="Y829" s="6">
        <v>5</v>
      </c>
    </row>
    <row r="830" spans="1:25">
      <c r="A830" t="s">
        <v>1221</v>
      </c>
      <c r="B830" s="2">
        <v>45932</v>
      </c>
      <c r="C830">
        <v>2025</v>
      </c>
      <c r="D830" t="s">
        <v>488</v>
      </c>
      <c r="E830" t="s">
        <v>489</v>
      </c>
      <c r="F830" t="s">
        <v>28</v>
      </c>
      <c r="G830" t="s">
        <v>29</v>
      </c>
      <c r="H830" t="s">
        <v>30</v>
      </c>
      <c r="I830" t="s">
        <v>42</v>
      </c>
      <c r="J830" t="s">
        <v>812</v>
      </c>
      <c r="K830" t="s">
        <v>61</v>
      </c>
      <c r="L830" t="s">
        <v>80</v>
      </c>
      <c r="M830" t="s">
        <v>187</v>
      </c>
      <c r="N830" t="s">
        <v>36</v>
      </c>
      <c r="O830" s="3">
        <v>1244.26</v>
      </c>
      <c r="P830">
        <v>3</v>
      </c>
      <c r="Q830" s="4">
        <v>0.1</v>
      </c>
      <c r="R830" s="3">
        <v>3359.502</v>
      </c>
      <c r="S830" s="3">
        <v>875.21</v>
      </c>
      <c r="T830" s="3">
        <v>2625.63</v>
      </c>
      <c r="U830" s="3">
        <v>733.87199999999984</v>
      </c>
      <c r="V830" s="5">
        <v>0.21844666263035409</v>
      </c>
      <c r="W830">
        <v>7</v>
      </c>
      <c r="X830" t="s">
        <v>37</v>
      </c>
      <c r="Y830" s="6">
        <v>4</v>
      </c>
    </row>
    <row r="831" spans="1:25">
      <c r="A831" t="s">
        <v>1222</v>
      </c>
      <c r="B831" s="2">
        <v>45934</v>
      </c>
      <c r="C831">
        <v>2025</v>
      </c>
      <c r="D831" t="s">
        <v>488</v>
      </c>
      <c r="E831" t="s">
        <v>489</v>
      </c>
      <c r="F831" t="s">
        <v>65</v>
      </c>
      <c r="G831" t="s">
        <v>76</v>
      </c>
      <c r="H831" t="s">
        <v>126</v>
      </c>
      <c r="I831" t="s">
        <v>71</v>
      </c>
      <c r="J831" t="s">
        <v>199</v>
      </c>
      <c r="K831" t="s">
        <v>47</v>
      </c>
      <c r="L831" t="s">
        <v>114</v>
      </c>
      <c r="M831" t="s">
        <v>115</v>
      </c>
      <c r="N831" t="s">
        <v>36</v>
      </c>
      <c r="O831" s="3">
        <v>17.29</v>
      </c>
      <c r="P831">
        <v>3</v>
      </c>
      <c r="Q831" s="4">
        <v>0</v>
      </c>
      <c r="R831" s="3">
        <v>51.87</v>
      </c>
      <c r="S831" s="3">
        <v>7.03</v>
      </c>
      <c r="T831" s="3">
        <v>21.09</v>
      </c>
      <c r="U831" s="3">
        <v>30.779999999999998</v>
      </c>
      <c r="V831" s="5">
        <v>0.59340659340659341</v>
      </c>
      <c r="W831">
        <v>4</v>
      </c>
      <c r="X831" t="s">
        <v>37</v>
      </c>
      <c r="Y831" s="6">
        <v>4</v>
      </c>
    </row>
    <row r="832" spans="1:25">
      <c r="A832" t="s">
        <v>1223</v>
      </c>
      <c r="B832" s="2">
        <v>45934</v>
      </c>
      <c r="C832">
        <v>2025</v>
      </c>
      <c r="D832" t="s">
        <v>488</v>
      </c>
      <c r="E832" t="s">
        <v>489</v>
      </c>
      <c r="F832" t="s">
        <v>51</v>
      </c>
      <c r="G832" t="s">
        <v>97</v>
      </c>
      <c r="H832" t="s">
        <v>98</v>
      </c>
      <c r="I832" t="s">
        <v>31</v>
      </c>
      <c r="J832" t="s">
        <v>119</v>
      </c>
      <c r="K832" t="s">
        <v>61</v>
      </c>
      <c r="L832" t="s">
        <v>80</v>
      </c>
      <c r="M832" t="s">
        <v>187</v>
      </c>
      <c r="N832" t="s">
        <v>44</v>
      </c>
      <c r="O832" s="3">
        <v>1237.8399999999999</v>
      </c>
      <c r="P832">
        <v>5</v>
      </c>
      <c r="Q832" s="4">
        <v>0.2</v>
      </c>
      <c r="R832" s="3">
        <v>4951.3600000000006</v>
      </c>
      <c r="S832" s="3">
        <v>869.39</v>
      </c>
      <c r="T832" s="3">
        <v>4346.95</v>
      </c>
      <c r="U832" s="3">
        <v>604.41000000000076</v>
      </c>
      <c r="V832" s="5">
        <v>0.12206949201835469</v>
      </c>
      <c r="W832">
        <v>2</v>
      </c>
      <c r="X832" t="s">
        <v>37</v>
      </c>
      <c r="Y832" s="6">
        <v>4</v>
      </c>
    </row>
    <row r="833" spans="1:25">
      <c r="A833" t="s">
        <v>1224</v>
      </c>
      <c r="B833" s="2">
        <v>45935</v>
      </c>
      <c r="C833">
        <v>2025</v>
      </c>
      <c r="D833" t="s">
        <v>488</v>
      </c>
      <c r="E833" t="s">
        <v>489</v>
      </c>
      <c r="F833" t="s">
        <v>51</v>
      </c>
      <c r="G833" t="s">
        <v>52</v>
      </c>
      <c r="H833" t="s">
        <v>102</v>
      </c>
      <c r="I833" t="s">
        <v>78</v>
      </c>
      <c r="J833" t="s">
        <v>83</v>
      </c>
      <c r="K833" t="s">
        <v>33</v>
      </c>
      <c r="L833" t="s">
        <v>73</v>
      </c>
      <c r="M833" t="s">
        <v>138</v>
      </c>
      <c r="N833" t="s">
        <v>36</v>
      </c>
      <c r="O833" s="3">
        <v>344.34</v>
      </c>
      <c r="P833">
        <v>3</v>
      </c>
      <c r="Q833" s="4">
        <v>0</v>
      </c>
      <c r="R833" s="3">
        <v>1033.02</v>
      </c>
      <c r="S833" s="3">
        <v>180.42</v>
      </c>
      <c r="T833" s="3">
        <v>541.26</v>
      </c>
      <c r="U833" s="3">
        <v>491.76</v>
      </c>
      <c r="V833" s="5">
        <v>0.47604112214671546</v>
      </c>
      <c r="W833">
        <v>7</v>
      </c>
      <c r="X833" t="s">
        <v>37</v>
      </c>
      <c r="Y833" s="6">
        <v>4</v>
      </c>
    </row>
    <row r="834" spans="1:25">
      <c r="A834" t="s">
        <v>1225</v>
      </c>
      <c r="B834" s="2">
        <v>45939</v>
      </c>
      <c r="C834">
        <v>2025</v>
      </c>
      <c r="D834" t="s">
        <v>488</v>
      </c>
      <c r="E834" t="s">
        <v>489</v>
      </c>
      <c r="F834" t="s">
        <v>28</v>
      </c>
      <c r="G834" t="s">
        <v>29</v>
      </c>
      <c r="H834" t="s">
        <v>60</v>
      </c>
      <c r="I834" t="s">
        <v>71</v>
      </c>
      <c r="J834" t="s">
        <v>405</v>
      </c>
      <c r="K834" t="s">
        <v>47</v>
      </c>
      <c r="L834" t="s">
        <v>114</v>
      </c>
      <c r="M834" t="s">
        <v>120</v>
      </c>
      <c r="N834" t="s">
        <v>36</v>
      </c>
      <c r="O834" s="3">
        <v>27.24</v>
      </c>
      <c r="P834">
        <v>4</v>
      </c>
      <c r="Q834" s="4">
        <v>0</v>
      </c>
      <c r="R834" s="3">
        <v>108.96</v>
      </c>
      <c r="S834" s="3">
        <v>10.84</v>
      </c>
      <c r="T834" s="3">
        <v>43.36</v>
      </c>
      <c r="U834" s="3">
        <v>65.599999999999994</v>
      </c>
      <c r="V834" s="5">
        <v>0.60205580029368577</v>
      </c>
      <c r="W834">
        <v>2</v>
      </c>
      <c r="X834" t="s">
        <v>37</v>
      </c>
      <c r="Y834" s="6">
        <v>5</v>
      </c>
    </row>
    <row r="835" spans="1:25">
      <c r="A835" t="s">
        <v>1226</v>
      </c>
      <c r="B835" s="2">
        <v>45940</v>
      </c>
      <c r="C835">
        <v>2025</v>
      </c>
      <c r="D835" t="s">
        <v>488</v>
      </c>
      <c r="E835" t="s">
        <v>489</v>
      </c>
      <c r="F835" t="s">
        <v>39</v>
      </c>
      <c r="G835" t="s">
        <v>40</v>
      </c>
      <c r="H835" t="s">
        <v>41</v>
      </c>
      <c r="I835" t="s">
        <v>42</v>
      </c>
      <c r="J835" t="s">
        <v>87</v>
      </c>
      <c r="K835" t="s">
        <v>33</v>
      </c>
      <c r="L835" t="s">
        <v>88</v>
      </c>
      <c r="M835" t="s">
        <v>100</v>
      </c>
      <c r="N835" t="s">
        <v>44</v>
      </c>
      <c r="O835" s="3">
        <v>300.94</v>
      </c>
      <c r="P835">
        <v>1</v>
      </c>
      <c r="Q835" s="4">
        <v>0</v>
      </c>
      <c r="R835" s="3">
        <v>300.94</v>
      </c>
      <c r="S835" s="3">
        <v>152.41999999999999</v>
      </c>
      <c r="T835" s="3">
        <v>152.41999999999999</v>
      </c>
      <c r="U835" s="3">
        <v>148.52000000000001</v>
      </c>
      <c r="V835" s="5">
        <v>0.49352030305044198</v>
      </c>
      <c r="W835">
        <v>5</v>
      </c>
      <c r="X835" t="s">
        <v>37</v>
      </c>
      <c r="Y835" s="6">
        <v>4</v>
      </c>
    </row>
    <row r="836" spans="1:25">
      <c r="A836" t="s">
        <v>1227</v>
      </c>
      <c r="B836" s="2">
        <v>45942</v>
      </c>
      <c r="C836">
        <v>2025</v>
      </c>
      <c r="D836" t="s">
        <v>488</v>
      </c>
      <c r="E836" t="s">
        <v>489</v>
      </c>
      <c r="F836" t="s">
        <v>51</v>
      </c>
      <c r="G836" t="s">
        <v>52</v>
      </c>
      <c r="H836" t="s">
        <v>102</v>
      </c>
      <c r="I836" t="s">
        <v>71</v>
      </c>
      <c r="J836" t="s">
        <v>322</v>
      </c>
      <c r="K836" t="s">
        <v>33</v>
      </c>
      <c r="L836" t="s">
        <v>88</v>
      </c>
      <c r="M836" t="s">
        <v>100</v>
      </c>
      <c r="N836" t="s">
        <v>57</v>
      </c>
      <c r="O836" s="3">
        <v>313.39999999999998</v>
      </c>
      <c r="P836">
        <v>1</v>
      </c>
      <c r="Q836" s="4">
        <v>0</v>
      </c>
      <c r="R836" s="3">
        <v>313.39999999999998</v>
      </c>
      <c r="S836" s="3">
        <v>156.41999999999999</v>
      </c>
      <c r="T836" s="3">
        <v>156.41999999999999</v>
      </c>
      <c r="U836" s="3">
        <v>156.97999999999999</v>
      </c>
      <c r="V836" s="5">
        <v>0.50089342693044037</v>
      </c>
      <c r="W836">
        <v>3</v>
      </c>
      <c r="X836" t="s">
        <v>37</v>
      </c>
      <c r="Y836" s="6">
        <v>5</v>
      </c>
    </row>
    <row r="837" spans="1:25">
      <c r="A837" t="s">
        <v>1228</v>
      </c>
      <c r="B837" s="2">
        <v>45944</v>
      </c>
      <c r="C837">
        <v>2025</v>
      </c>
      <c r="D837" t="s">
        <v>488</v>
      </c>
      <c r="E837" t="s">
        <v>489</v>
      </c>
      <c r="F837" t="s">
        <v>51</v>
      </c>
      <c r="G837" t="s">
        <v>52</v>
      </c>
      <c r="H837" t="s">
        <v>102</v>
      </c>
      <c r="I837" t="s">
        <v>31</v>
      </c>
      <c r="J837" t="s">
        <v>169</v>
      </c>
      <c r="K837" t="s">
        <v>61</v>
      </c>
      <c r="L837" t="s">
        <v>62</v>
      </c>
      <c r="M837" t="s">
        <v>63</v>
      </c>
      <c r="N837" t="s">
        <v>44</v>
      </c>
      <c r="O837" s="3">
        <v>92.31</v>
      </c>
      <c r="P837">
        <v>1</v>
      </c>
      <c r="Q837" s="4">
        <v>0.1</v>
      </c>
      <c r="R837" s="3">
        <v>83.079000000000008</v>
      </c>
      <c r="S837" s="3">
        <v>44.88</v>
      </c>
      <c r="T837" s="3">
        <v>44.88</v>
      </c>
      <c r="U837" s="3">
        <v>38.199000000000005</v>
      </c>
      <c r="V837" s="5">
        <v>0.45979128299570293</v>
      </c>
      <c r="W837">
        <v>9</v>
      </c>
      <c r="X837" t="s">
        <v>37</v>
      </c>
      <c r="Y837" s="6">
        <v>3</v>
      </c>
    </row>
    <row r="838" spans="1:25">
      <c r="A838" t="s">
        <v>1229</v>
      </c>
      <c r="B838" s="2">
        <v>45944</v>
      </c>
      <c r="C838">
        <v>2025</v>
      </c>
      <c r="D838" t="s">
        <v>488</v>
      </c>
      <c r="E838" t="s">
        <v>489</v>
      </c>
      <c r="F838" t="s">
        <v>51</v>
      </c>
      <c r="G838" t="s">
        <v>52</v>
      </c>
      <c r="H838" t="s">
        <v>102</v>
      </c>
      <c r="I838" t="s">
        <v>31</v>
      </c>
      <c r="J838" t="s">
        <v>628</v>
      </c>
      <c r="K838" t="s">
        <v>47</v>
      </c>
      <c r="L838" t="s">
        <v>48</v>
      </c>
      <c r="M838" t="s">
        <v>104</v>
      </c>
      <c r="N838" t="s">
        <v>57</v>
      </c>
      <c r="O838" s="3">
        <v>56.03</v>
      </c>
      <c r="P838">
        <v>4</v>
      </c>
      <c r="Q838" s="4">
        <v>0.15</v>
      </c>
      <c r="R838" s="3">
        <v>190.50200000000001</v>
      </c>
      <c r="S838" s="3">
        <v>30.63</v>
      </c>
      <c r="T838" s="3">
        <v>122.52</v>
      </c>
      <c r="U838" s="3">
        <v>67.982000000000014</v>
      </c>
      <c r="V838" s="5">
        <v>0.35685714585673645</v>
      </c>
      <c r="W838">
        <v>9</v>
      </c>
      <c r="X838" t="s">
        <v>37</v>
      </c>
      <c r="Y838" s="6">
        <v>4</v>
      </c>
    </row>
    <row r="839" spans="1:25">
      <c r="A839" t="s">
        <v>1230</v>
      </c>
      <c r="B839" s="2">
        <v>45946</v>
      </c>
      <c r="C839">
        <v>2025</v>
      </c>
      <c r="D839" t="s">
        <v>488</v>
      </c>
      <c r="E839" t="s">
        <v>489</v>
      </c>
      <c r="F839" t="s">
        <v>65</v>
      </c>
      <c r="G839" t="s">
        <v>76</v>
      </c>
      <c r="H839" t="s">
        <v>126</v>
      </c>
      <c r="I839" t="s">
        <v>42</v>
      </c>
      <c r="J839" t="s">
        <v>841</v>
      </c>
      <c r="K839" t="s">
        <v>47</v>
      </c>
      <c r="L839" t="s">
        <v>55</v>
      </c>
      <c r="M839" t="s">
        <v>56</v>
      </c>
      <c r="N839" t="s">
        <v>44</v>
      </c>
      <c r="O839" s="3">
        <v>40.380000000000003</v>
      </c>
      <c r="P839">
        <v>10</v>
      </c>
      <c r="Q839" s="4">
        <v>0.1</v>
      </c>
      <c r="R839" s="3">
        <v>363.42</v>
      </c>
      <c r="S839" s="3">
        <v>17.260000000000002</v>
      </c>
      <c r="T839" s="3">
        <v>172.60000000000002</v>
      </c>
      <c r="U839" s="3">
        <v>190.82</v>
      </c>
      <c r="V839" s="5">
        <v>0.52506741511199162</v>
      </c>
      <c r="W839">
        <v>5</v>
      </c>
      <c r="X839" t="s">
        <v>37</v>
      </c>
      <c r="Y839" s="6">
        <v>4</v>
      </c>
    </row>
    <row r="840" spans="1:25">
      <c r="A840" t="s">
        <v>1231</v>
      </c>
      <c r="B840" s="2">
        <v>45951</v>
      </c>
      <c r="C840">
        <v>2025</v>
      </c>
      <c r="D840" t="s">
        <v>488</v>
      </c>
      <c r="E840" t="s">
        <v>489</v>
      </c>
      <c r="F840" t="s">
        <v>51</v>
      </c>
      <c r="G840" t="s">
        <v>52</v>
      </c>
      <c r="H840" t="s">
        <v>53</v>
      </c>
      <c r="I840" t="s">
        <v>42</v>
      </c>
      <c r="J840" t="s">
        <v>295</v>
      </c>
      <c r="K840" t="s">
        <v>61</v>
      </c>
      <c r="L840" t="s">
        <v>62</v>
      </c>
      <c r="M840" t="s">
        <v>63</v>
      </c>
      <c r="N840" t="s">
        <v>44</v>
      </c>
      <c r="O840" s="3">
        <v>85.48</v>
      </c>
      <c r="P840">
        <v>3</v>
      </c>
      <c r="Q840" s="4">
        <v>0.05</v>
      </c>
      <c r="R840" s="3">
        <v>243.61799999999999</v>
      </c>
      <c r="S840" s="3">
        <v>43.41</v>
      </c>
      <c r="T840" s="3">
        <v>130.22999999999999</v>
      </c>
      <c r="U840" s="3">
        <v>113.38800000000001</v>
      </c>
      <c r="V840" s="5">
        <v>0.46543358865108492</v>
      </c>
      <c r="W840">
        <v>8</v>
      </c>
      <c r="X840" t="s">
        <v>37</v>
      </c>
      <c r="Y840" s="6">
        <v>3</v>
      </c>
    </row>
    <row r="841" spans="1:25">
      <c r="A841" t="s">
        <v>1232</v>
      </c>
      <c r="B841" s="2">
        <v>45951</v>
      </c>
      <c r="C841">
        <v>2025</v>
      </c>
      <c r="D841" t="s">
        <v>488</v>
      </c>
      <c r="E841" t="s">
        <v>489</v>
      </c>
      <c r="F841" t="s">
        <v>51</v>
      </c>
      <c r="G841" t="s">
        <v>52</v>
      </c>
      <c r="H841" t="s">
        <v>102</v>
      </c>
      <c r="I841" t="s">
        <v>31</v>
      </c>
      <c r="J841" t="s">
        <v>594</v>
      </c>
      <c r="K841" t="s">
        <v>33</v>
      </c>
      <c r="L841" t="s">
        <v>88</v>
      </c>
      <c r="M841" t="s">
        <v>100</v>
      </c>
      <c r="N841" t="s">
        <v>57</v>
      </c>
      <c r="O841" s="3">
        <v>286.27</v>
      </c>
      <c r="P841">
        <v>5</v>
      </c>
      <c r="Q841" s="4">
        <v>0</v>
      </c>
      <c r="R841" s="3">
        <v>1431.35</v>
      </c>
      <c r="S841" s="3">
        <v>157.94999999999999</v>
      </c>
      <c r="T841" s="3">
        <v>789.75</v>
      </c>
      <c r="U841" s="3">
        <v>641.59999999999991</v>
      </c>
      <c r="V841" s="5">
        <v>0.44824815733398538</v>
      </c>
      <c r="W841">
        <v>8</v>
      </c>
      <c r="X841" t="s">
        <v>37</v>
      </c>
      <c r="Y841" s="6">
        <v>4</v>
      </c>
    </row>
    <row r="842" spans="1:25">
      <c r="A842" t="s">
        <v>1233</v>
      </c>
      <c r="B842" s="2">
        <v>45951</v>
      </c>
      <c r="C842">
        <v>2025</v>
      </c>
      <c r="D842" t="s">
        <v>488</v>
      </c>
      <c r="E842" t="s">
        <v>489</v>
      </c>
      <c r="F842" t="s">
        <v>39</v>
      </c>
      <c r="G842" t="s">
        <v>111</v>
      </c>
      <c r="H842" t="s">
        <v>112</v>
      </c>
      <c r="I842" t="s">
        <v>31</v>
      </c>
      <c r="J842" t="s">
        <v>87</v>
      </c>
      <c r="K842" t="s">
        <v>47</v>
      </c>
      <c r="L842" t="s">
        <v>114</v>
      </c>
      <c r="M842" t="s">
        <v>120</v>
      </c>
      <c r="N842" t="s">
        <v>36</v>
      </c>
      <c r="O842" s="3">
        <v>24.71</v>
      </c>
      <c r="P842">
        <v>12</v>
      </c>
      <c r="Q842" s="4">
        <v>0</v>
      </c>
      <c r="R842" s="3">
        <v>296.52</v>
      </c>
      <c r="S842" s="3">
        <v>10.7</v>
      </c>
      <c r="T842" s="3">
        <v>128.39999999999998</v>
      </c>
      <c r="U842" s="3">
        <v>168.12</v>
      </c>
      <c r="V842" s="5">
        <v>0.56697693241602598</v>
      </c>
      <c r="W842">
        <v>7</v>
      </c>
      <c r="X842" t="s">
        <v>37</v>
      </c>
      <c r="Y842" s="6">
        <v>4</v>
      </c>
    </row>
    <row r="843" spans="1:25">
      <c r="A843" t="s">
        <v>1234</v>
      </c>
      <c r="B843" s="2">
        <v>45956</v>
      </c>
      <c r="C843">
        <v>2025</v>
      </c>
      <c r="D843" t="s">
        <v>488</v>
      </c>
      <c r="E843" t="s">
        <v>489</v>
      </c>
      <c r="F843" t="s">
        <v>28</v>
      </c>
      <c r="G843" t="s">
        <v>29</v>
      </c>
      <c r="H843" t="s">
        <v>60</v>
      </c>
      <c r="I843" t="s">
        <v>31</v>
      </c>
      <c r="J843" t="s">
        <v>169</v>
      </c>
      <c r="K843" t="s">
        <v>33</v>
      </c>
      <c r="L843" t="s">
        <v>88</v>
      </c>
      <c r="M843" t="s">
        <v>89</v>
      </c>
      <c r="N843" t="s">
        <v>57</v>
      </c>
      <c r="O843" s="3">
        <v>251.32</v>
      </c>
      <c r="P843">
        <v>1</v>
      </c>
      <c r="Q843" s="4">
        <v>0.2</v>
      </c>
      <c r="R843" s="3">
        <v>201.05600000000001</v>
      </c>
      <c r="S843" s="3">
        <v>127.88</v>
      </c>
      <c r="T843" s="3">
        <v>127.88</v>
      </c>
      <c r="U843" s="3">
        <v>73.176000000000016</v>
      </c>
      <c r="V843" s="5">
        <v>0.36395830017507563</v>
      </c>
      <c r="W843">
        <v>7</v>
      </c>
      <c r="X843" t="s">
        <v>58</v>
      </c>
      <c r="Y843" s="6">
        <v>3</v>
      </c>
    </row>
    <row r="844" spans="1:25">
      <c r="A844" t="s">
        <v>1235</v>
      </c>
      <c r="B844" s="2">
        <v>45956</v>
      </c>
      <c r="C844">
        <v>2025</v>
      </c>
      <c r="D844" t="s">
        <v>488</v>
      </c>
      <c r="E844" t="s">
        <v>489</v>
      </c>
      <c r="F844" t="s">
        <v>65</v>
      </c>
      <c r="G844" t="s">
        <v>76</v>
      </c>
      <c r="H844" t="s">
        <v>126</v>
      </c>
      <c r="I844" t="s">
        <v>78</v>
      </c>
      <c r="J844" t="s">
        <v>586</v>
      </c>
      <c r="K844" t="s">
        <v>47</v>
      </c>
      <c r="L844" t="s">
        <v>55</v>
      </c>
      <c r="M844" t="s">
        <v>56</v>
      </c>
      <c r="N844" t="s">
        <v>36</v>
      </c>
      <c r="O844" s="3">
        <v>39.15</v>
      </c>
      <c r="P844">
        <v>8</v>
      </c>
      <c r="Q844" s="4">
        <v>0.05</v>
      </c>
      <c r="R844" s="3">
        <v>297.53999999999996</v>
      </c>
      <c r="S844" s="3">
        <v>17.399999999999999</v>
      </c>
      <c r="T844" s="3">
        <v>139.19999999999999</v>
      </c>
      <c r="U844" s="3">
        <v>158.33999999999997</v>
      </c>
      <c r="V844" s="5">
        <v>0.53216374269005851</v>
      </c>
      <c r="W844">
        <v>2</v>
      </c>
      <c r="X844" t="s">
        <v>37</v>
      </c>
      <c r="Y844" s="6">
        <v>5</v>
      </c>
    </row>
    <row r="845" spans="1:25">
      <c r="A845" t="s">
        <v>1236</v>
      </c>
      <c r="B845" s="2">
        <v>45956</v>
      </c>
      <c r="C845">
        <v>2025</v>
      </c>
      <c r="D845" t="s">
        <v>488</v>
      </c>
      <c r="E845" t="s">
        <v>489</v>
      </c>
      <c r="F845" t="s">
        <v>65</v>
      </c>
      <c r="G845" t="s">
        <v>76</v>
      </c>
      <c r="H845" t="s">
        <v>77</v>
      </c>
      <c r="I845" t="s">
        <v>78</v>
      </c>
      <c r="J845" t="s">
        <v>692</v>
      </c>
      <c r="K845" t="s">
        <v>33</v>
      </c>
      <c r="L845" t="s">
        <v>88</v>
      </c>
      <c r="M845" t="s">
        <v>100</v>
      </c>
      <c r="N845" t="s">
        <v>57</v>
      </c>
      <c r="O845" s="3">
        <v>310.86</v>
      </c>
      <c r="P845">
        <v>3</v>
      </c>
      <c r="Q845" s="4">
        <v>0.2</v>
      </c>
      <c r="R845" s="3">
        <v>746.06400000000008</v>
      </c>
      <c r="S845" s="3">
        <v>151.85</v>
      </c>
      <c r="T845" s="3">
        <v>455.54999999999995</v>
      </c>
      <c r="U845" s="3">
        <v>290.51400000000012</v>
      </c>
      <c r="V845" s="5">
        <v>0.38939554783503838</v>
      </c>
      <c r="W845">
        <v>4</v>
      </c>
      <c r="X845" t="s">
        <v>37</v>
      </c>
      <c r="Y845" s="6">
        <v>4</v>
      </c>
    </row>
    <row r="846" spans="1:25">
      <c r="A846" t="s">
        <v>1237</v>
      </c>
      <c r="B846" s="2">
        <v>45957</v>
      </c>
      <c r="C846">
        <v>2025</v>
      </c>
      <c r="D846" t="s">
        <v>488</v>
      </c>
      <c r="E846" t="s">
        <v>489</v>
      </c>
      <c r="F846" t="s">
        <v>65</v>
      </c>
      <c r="G846" t="s">
        <v>76</v>
      </c>
      <c r="H846" t="s">
        <v>77</v>
      </c>
      <c r="I846" t="s">
        <v>71</v>
      </c>
      <c r="J846" t="s">
        <v>466</v>
      </c>
      <c r="K846" t="s">
        <v>33</v>
      </c>
      <c r="L846" t="s">
        <v>34</v>
      </c>
      <c r="M846" t="s">
        <v>150</v>
      </c>
      <c r="N846" t="s">
        <v>36</v>
      </c>
      <c r="O846" s="3">
        <v>446.21</v>
      </c>
      <c r="P846">
        <v>3</v>
      </c>
      <c r="Q846" s="4">
        <v>0</v>
      </c>
      <c r="R846" s="3">
        <v>1338.6299999999999</v>
      </c>
      <c r="S846" s="3">
        <v>248.01</v>
      </c>
      <c r="T846" s="3">
        <v>744.03</v>
      </c>
      <c r="U846" s="3">
        <v>594.59999999999991</v>
      </c>
      <c r="V846" s="5">
        <v>0.44418547320768248</v>
      </c>
      <c r="W846">
        <v>1</v>
      </c>
      <c r="X846" t="s">
        <v>58</v>
      </c>
      <c r="Y846" s="6">
        <v>4</v>
      </c>
    </row>
    <row r="847" spans="1:25">
      <c r="A847" t="s">
        <v>1238</v>
      </c>
      <c r="B847" s="2">
        <v>45957</v>
      </c>
      <c r="C847">
        <v>2025</v>
      </c>
      <c r="D847" t="s">
        <v>488</v>
      </c>
      <c r="E847" t="s">
        <v>489</v>
      </c>
      <c r="F847" t="s">
        <v>39</v>
      </c>
      <c r="G847" t="s">
        <v>40</v>
      </c>
      <c r="H847" t="s">
        <v>41</v>
      </c>
      <c r="I847" t="s">
        <v>31</v>
      </c>
      <c r="J847" t="s">
        <v>239</v>
      </c>
      <c r="K847" t="s">
        <v>47</v>
      </c>
      <c r="L847" t="s">
        <v>114</v>
      </c>
      <c r="M847" t="s">
        <v>115</v>
      </c>
      <c r="N847" t="s">
        <v>44</v>
      </c>
      <c r="O847" s="3">
        <v>18.489999999999998</v>
      </c>
      <c r="P847">
        <v>3</v>
      </c>
      <c r="Q847" s="4">
        <v>0</v>
      </c>
      <c r="R847" s="3">
        <v>55.47</v>
      </c>
      <c r="S847" s="3">
        <v>7.15</v>
      </c>
      <c r="T847" s="3">
        <v>21.450000000000003</v>
      </c>
      <c r="U847" s="3">
        <v>34.019999999999996</v>
      </c>
      <c r="V847" s="5">
        <v>0.61330448891292588</v>
      </c>
      <c r="W847">
        <v>1</v>
      </c>
      <c r="X847" t="s">
        <v>37</v>
      </c>
      <c r="Y847" s="6">
        <v>5</v>
      </c>
    </row>
    <row r="848" spans="1:25">
      <c r="A848" t="s">
        <v>1239</v>
      </c>
      <c r="B848" s="2">
        <v>45957</v>
      </c>
      <c r="C848">
        <v>2025</v>
      </c>
      <c r="D848" t="s">
        <v>488</v>
      </c>
      <c r="E848" t="s">
        <v>489</v>
      </c>
      <c r="F848" t="s">
        <v>28</v>
      </c>
      <c r="G848" t="s">
        <v>29</v>
      </c>
      <c r="H848" t="s">
        <v>106</v>
      </c>
      <c r="I848" t="s">
        <v>78</v>
      </c>
      <c r="J848" t="s">
        <v>547</v>
      </c>
      <c r="K848" t="s">
        <v>33</v>
      </c>
      <c r="L848" t="s">
        <v>88</v>
      </c>
      <c r="M848" t="s">
        <v>89</v>
      </c>
      <c r="N848" t="s">
        <v>44</v>
      </c>
      <c r="O848" s="3">
        <v>248.99</v>
      </c>
      <c r="P848">
        <v>5</v>
      </c>
      <c r="Q848" s="4">
        <v>0.1</v>
      </c>
      <c r="R848" s="3">
        <v>1120.4550000000002</v>
      </c>
      <c r="S848" s="3">
        <v>132.1</v>
      </c>
      <c r="T848" s="3">
        <v>660.5</v>
      </c>
      <c r="U848" s="3">
        <v>459.95500000000015</v>
      </c>
      <c r="V848" s="5">
        <v>0.41050733853657673</v>
      </c>
      <c r="W848">
        <v>7</v>
      </c>
      <c r="X848" t="s">
        <v>37</v>
      </c>
      <c r="Y848" s="6">
        <v>4</v>
      </c>
    </row>
    <row r="849" spans="1:25">
      <c r="A849" t="s">
        <v>1240</v>
      </c>
      <c r="B849" s="2">
        <v>45960</v>
      </c>
      <c r="C849">
        <v>2025</v>
      </c>
      <c r="D849" t="s">
        <v>488</v>
      </c>
      <c r="E849" t="s">
        <v>489</v>
      </c>
      <c r="F849" t="s">
        <v>65</v>
      </c>
      <c r="G849" t="s">
        <v>76</v>
      </c>
      <c r="H849" t="s">
        <v>126</v>
      </c>
      <c r="I849" t="s">
        <v>42</v>
      </c>
      <c r="J849" t="s">
        <v>583</v>
      </c>
      <c r="K849" t="s">
        <v>61</v>
      </c>
      <c r="L849" t="s">
        <v>80</v>
      </c>
      <c r="M849" t="s">
        <v>81</v>
      </c>
      <c r="N849" t="s">
        <v>36</v>
      </c>
      <c r="O849" s="3">
        <v>1037.42</v>
      </c>
      <c r="P849">
        <v>4</v>
      </c>
      <c r="Q849" s="4">
        <v>0.15</v>
      </c>
      <c r="R849" s="3">
        <v>3527.2280000000001</v>
      </c>
      <c r="S849" s="3">
        <v>662.5</v>
      </c>
      <c r="T849" s="3">
        <v>2650</v>
      </c>
      <c r="U849" s="3">
        <v>877.22800000000007</v>
      </c>
      <c r="V849" s="5">
        <v>0.24870181343536626</v>
      </c>
      <c r="W849">
        <v>5</v>
      </c>
      <c r="X849" t="s">
        <v>37</v>
      </c>
      <c r="Y849" s="6">
        <v>5</v>
      </c>
    </row>
    <row r="850" spans="1:25">
      <c r="A850" t="s">
        <v>1241</v>
      </c>
      <c r="B850" s="2">
        <v>45960</v>
      </c>
      <c r="C850">
        <v>2025</v>
      </c>
      <c r="D850" t="s">
        <v>488</v>
      </c>
      <c r="E850" t="s">
        <v>489</v>
      </c>
      <c r="F850" t="s">
        <v>28</v>
      </c>
      <c r="G850" t="s">
        <v>29</v>
      </c>
      <c r="H850" t="s">
        <v>30</v>
      </c>
      <c r="I850" t="s">
        <v>71</v>
      </c>
      <c r="J850" t="s">
        <v>394</v>
      </c>
      <c r="K850" t="s">
        <v>47</v>
      </c>
      <c r="L850" t="s">
        <v>114</v>
      </c>
      <c r="M850" t="s">
        <v>120</v>
      </c>
      <c r="N850" t="s">
        <v>57</v>
      </c>
      <c r="O850" s="3">
        <v>25.35</v>
      </c>
      <c r="P850">
        <v>12</v>
      </c>
      <c r="Q850" s="4">
        <v>0.15</v>
      </c>
      <c r="R850" s="3">
        <v>258.57000000000005</v>
      </c>
      <c r="S850" s="3">
        <v>11.3</v>
      </c>
      <c r="T850" s="3">
        <v>135.60000000000002</v>
      </c>
      <c r="U850" s="3">
        <v>122.97000000000003</v>
      </c>
      <c r="V850" s="5">
        <v>0.47557721313377421</v>
      </c>
      <c r="W850">
        <v>7</v>
      </c>
      <c r="X850" t="s">
        <v>37</v>
      </c>
      <c r="Y850" s="6">
        <v>4</v>
      </c>
    </row>
    <row r="851" spans="1:25">
      <c r="A851" t="s">
        <v>1242</v>
      </c>
      <c r="B851" s="2">
        <v>45960</v>
      </c>
      <c r="C851">
        <v>2025</v>
      </c>
      <c r="D851" t="s">
        <v>488</v>
      </c>
      <c r="E851" t="s">
        <v>489</v>
      </c>
      <c r="F851" t="s">
        <v>65</v>
      </c>
      <c r="G851" t="s">
        <v>66</v>
      </c>
      <c r="H851" t="s">
        <v>67</v>
      </c>
      <c r="I851" t="s">
        <v>78</v>
      </c>
      <c r="J851" t="s">
        <v>758</v>
      </c>
      <c r="K851" t="s">
        <v>33</v>
      </c>
      <c r="L851" t="s">
        <v>88</v>
      </c>
      <c r="M851" t="s">
        <v>89</v>
      </c>
      <c r="N851" t="s">
        <v>44</v>
      </c>
      <c r="O851" s="3">
        <v>255.21</v>
      </c>
      <c r="P851">
        <v>5</v>
      </c>
      <c r="Q851" s="4">
        <v>0</v>
      </c>
      <c r="R851" s="3">
        <v>1276.05</v>
      </c>
      <c r="S851" s="3">
        <v>126.8</v>
      </c>
      <c r="T851" s="3">
        <v>634</v>
      </c>
      <c r="U851" s="3">
        <v>642.04999999999995</v>
      </c>
      <c r="V851" s="5">
        <v>0.50315426511500327</v>
      </c>
      <c r="W851">
        <v>3</v>
      </c>
      <c r="X851" t="s">
        <v>37</v>
      </c>
      <c r="Y851" s="6">
        <v>5</v>
      </c>
    </row>
    <row r="852" spans="1:25">
      <c r="A852" t="s">
        <v>1243</v>
      </c>
      <c r="B852" s="2">
        <v>45961</v>
      </c>
      <c r="C852">
        <v>2025</v>
      </c>
      <c r="D852" t="s">
        <v>488</v>
      </c>
      <c r="E852" t="s">
        <v>489</v>
      </c>
      <c r="F852" t="s">
        <v>39</v>
      </c>
      <c r="G852" t="s">
        <v>111</v>
      </c>
      <c r="H852" t="s">
        <v>112</v>
      </c>
      <c r="I852" t="s">
        <v>42</v>
      </c>
      <c r="J852" t="s">
        <v>710</v>
      </c>
      <c r="K852" t="s">
        <v>33</v>
      </c>
      <c r="L852" t="s">
        <v>88</v>
      </c>
      <c r="M852" t="s">
        <v>100</v>
      </c>
      <c r="N852" t="s">
        <v>57</v>
      </c>
      <c r="O852" s="3">
        <v>288.43</v>
      </c>
      <c r="P852">
        <v>1</v>
      </c>
      <c r="Q852" s="4">
        <v>0.2</v>
      </c>
      <c r="R852" s="3">
        <v>230.74400000000003</v>
      </c>
      <c r="S852" s="3">
        <v>157.21</v>
      </c>
      <c r="T852" s="3">
        <v>157.21</v>
      </c>
      <c r="U852" s="3">
        <v>73.53400000000002</v>
      </c>
      <c r="V852" s="5">
        <v>0.31868217591790038</v>
      </c>
      <c r="W852">
        <v>7</v>
      </c>
      <c r="X852" t="s">
        <v>37</v>
      </c>
      <c r="Y852" s="6">
        <v>4</v>
      </c>
    </row>
    <row r="853" spans="1:25">
      <c r="A853" t="s">
        <v>1244</v>
      </c>
      <c r="B853" s="2">
        <v>45961</v>
      </c>
      <c r="C853">
        <v>2025</v>
      </c>
      <c r="D853" t="s">
        <v>488</v>
      </c>
      <c r="E853" t="s">
        <v>489</v>
      </c>
      <c r="F853" t="s">
        <v>65</v>
      </c>
      <c r="G853" t="s">
        <v>76</v>
      </c>
      <c r="H853" t="s">
        <v>77</v>
      </c>
      <c r="I853" t="s">
        <v>78</v>
      </c>
      <c r="J853" t="s">
        <v>525</v>
      </c>
      <c r="K853" t="s">
        <v>61</v>
      </c>
      <c r="L853" t="s">
        <v>80</v>
      </c>
      <c r="M853" t="s">
        <v>187</v>
      </c>
      <c r="N853" t="s">
        <v>36</v>
      </c>
      <c r="O853" s="3">
        <v>1338.38</v>
      </c>
      <c r="P853">
        <v>2</v>
      </c>
      <c r="Q853" s="4">
        <v>0</v>
      </c>
      <c r="R853" s="3">
        <v>2676.76</v>
      </c>
      <c r="S853" s="3">
        <v>831.43</v>
      </c>
      <c r="T853" s="3">
        <v>1662.86</v>
      </c>
      <c r="U853" s="3">
        <v>1013.9000000000003</v>
      </c>
      <c r="V853" s="5">
        <v>0.37877882215813158</v>
      </c>
      <c r="W853">
        <v>5</v>
      </c>
      <c r="X853" t="s">
        <v>37</v>
      </c>
      <c r="Y853" s="6">
        <v>4</v>
      </c>
    </row>
    <row r="854" spans="1:25">
      <c r="A854" t="s">
        <v>1245</v>
      </c>
      <c r="B854" s="2">
        <v>45961</v>
      </c>
      <c r="C854">
        <v>2025</v>
      </c>
      <c r="D854" t="s">
        <v>488</v>
      </c>
      <c r="E854" t="s">
        <v>489</v>
      </c>
      <c r="F854" t="s">
        <v>51</v>
      </c>
      <c r="G854" t="s">
        <v>52</v>
      </c>
      <c r="H854" t="s">
        <v>53</v>
      </c>
      <c r="I854" t="s">
        <v>31</v>
      </c>
      <c r="J854" t="s">
        <v>189</v>
      </c>
      <c r="K854" t="s">
        <v>47</v>
      </c>
      <c r="L854" t="s">
        <v>48</v>
      </c>
      <c r="M854" t="s">
        <v>49</v>
      </c>
      <c r="N854" t="s">
        <v>57</v>
      </c>
      <c r="O854" s="3">
        <v>32.979999999999997</v>
      </c>
      <c r="P854">
        <v>1</v>
      </c>
      <c r="Q854" s="4">
        <v>0</v>
      </c>
      <c r="R854" s="3">
        <v>32.979999999999997</v>
      </c>
      <c r="S854" s="3">
        <v>13.87</v>
      </c>
      <c r="T854" s="3">
        <v>13.87</v>
      </c>
      <c r="U854" s="3">
        <v>19.11</v>
      </c>
      <c r="V854" s="5">
        <v>0.57944208611279568</v>
      </c>
      <c r="W854">
        <v>1</v>
      </c>
      <c r="X854" t="s">
        <v>37</v>
      </c>
      <c r="Y854" s="6">
        <v>5</v>
      </c>
    </row>
    <row r="855" spans="1:25">
      <c r="A855" t="s">
        <v>1246</v>
      </c>
      <c r="B855" s="2">
        <v>45962</v>
      </c>
      <c r="C855">
        <v>2025</v>
      </c>
      <c r="D855" t="s">
        <v>488</v>
      </c>
      <c r="E855" t="s">
        <v>519</v>
      </c>
      <c r="F855" t="s">
        <v>51</v>
      </c>
      <c r="G855" t="s">
        <v>52</v>
      </c>
      <c r="H855" t="s">
        <v>102</v>
      </c>
      <c r="I855" t="s">
        <v>31</v>
      </c>
      <c r="J855" t="s">
        <v>330</v>
      </c>
      <c r="K855" t="s">
        <v>61</v>
      </c>
      <c r="L855" t="s">
        <v>84</v>
      </c>
      <c r="M855" t="s">
        <v>135</v>
      </c>
      <c r="N855" t="s">
        <v>36</v>
      </c>
      <c r="O855" s="3">
        <v>865.65</v>
      </c>
      <c r="P855">
        <v>4</v>
      </c>
      <c r="Q855" s="4">
        <v>0.2</v>
      </c>
      <c r="R855" s="3">
        <v>2770.08</v>
      </c>
      <c r="S855" s="3">
        <v>566.66</v>
      </c>
      <c r="T855" s="3">
        <v>2266.64</v>
      </c>
      <c r="U855" s="3">
        <v>503.44000000000005</v>
      </c>
      <c r="V855" s="5">
        <v>0.18174204355108881</v>
      </c>
      <c r="W855">
        <v>8</v>
      </c>
      <c r="X855" t="s">
        <v>37</v>
      </c>
      <c r="Y855" s="6">
        <v>4</v>
      </c>
    </row>
    <row r="856" spans="1:25">
      <c r="A856" t="s">
        <v>1247</v>
      </c>
      <c r="B856" s="2">
        <v>45965</v>
      </c>
      <c r="C856">
        <v>2025</v>
      </c>
      <c r="D856" t="s">
        <v>488</v>
      </c>
      <c r="E856" t="s">
        <v>519</v>
      </c>
      <c r="F856" t="s">
        <v>51</v>
      </c>
      <c r="G856" t="s">
        <v>97</v>
      </c>
      <c r="H856" t="s">
        <v>98</v>
      </c>
      <c r="I856" t="s">
        <v>71</v>
      </c>
      <c r="J856" t="s">
        <v>1248</v>
      </c>
      <c r="K856" t="s">
        <v>33</v>
      </c>
      <c r="L856" t="s">
        <v>88</v>
      </c>
      <c r="M856" t="s">
        <v>100</v>
      </c>
      <c r="N856" t="s">
        <v>57</v>
      </c>
      <c r="O856" s="3">
        <v>287.56</v>
      </c>
      <c r="P856">
        <v>2</v>
      </c>
      <c r="Q856" s="4">
        <v>0.15</v>
      </c>
      <c r="R856" s="3">
        <v>488.85199999999998</v>
      </c>
      <c r="S856" s="3">
        <v>155.35</v>
      </c>
      <c r="T856" s="3">
        <v>310.7</v>
      </c>
      <c r="U856" s="3">
        <v>178.15199999999999</v>
      </c>
      <c r="V856" s="5">
        <v>0.36442931603020956</v>
      </c>
      <c r="W856">
        <v>10</v>
      </c>
      <c r="X856" t="s">
        <v>37</v>
      </c>
      <c r="Y856" s="6">
        <v>3</v>
      </c>
    </row>
    <row r="857" spans="1:25">
      <c r="A857" t="s">
        <v>1249</v>
      </c>
      <c r="B857" s="2">
        <v>45966</v>
      </c>
      <c r="C857">
        <v>2025</v>
      </c>
      <c r="D857" t="s">
        <v>488</v>
      </c>
      <c r="E857" t="s">
        <v>519</v>
      </c>
      <c r="F857" t="s">
        <v>28</v>
      </c>
      <c r="G857" t="s">
        <v>29</v>
      </c>
      <c r="H857" t="s">
        <v>106</v>
      </c>
      <c r="I857" t="s">
        <v>78</v>
      </c>
      <c r="J857" t="s">
        <v>448</v>
      </c>
      <c r="K857" t="s">
        <v>61</v>
      </c>
      <c r="L857" t="s">
        <v>80</v>
      </c>
      <c r="M857" t="s">
        <v>81</v>
      </c>
      <c r="N857" t="s">
        <v>36</v>
      </c>
      <c r="O857" s="3">
        <v>965.01</v>
      </c>
      <c r="P857">
        <v>3</v>
      </c>
      <c r="Q857" s="4">
        <v>0</v>
      </c>
      <c r="R857" s="3">
        <v>2895.0299999999997</v>
      </c>
      <c r="S857" s="3">
        <v>666.15</v>
      </c>
      <c r="T857" s="3">
        <v>1998.4499999999998</v>
      </c>
      <c r="U857" s="3">
        <v>896.57999999999993</v>
      </c>
      <c r="V857" s="5">
        <v>0.30969627257748622</v>
      </c>
      <c r="W857">
        <v>4</v>
      </c>
      <c r="X857" t="s">
        <v>37</v>
      </c>
      <c r="Y857" s="6">
        <v>5</v>
      </c>
    </row>
    <row r="858" spans="1:25">
      <c r="A858" t="s">
        <v>1250</v>
      </c>
      <c r="B858" s="2">
        <v>45966</v>
      </c>
      <c r="C858">
        <v>2025</v>
      </c>
      <c r="D858" t="s">
        <v>488</v>
      </c>
      <c r="E858" t="s">
        <v>519</v>
      </c>
      <c r="F858" t="s">
        <v>51</v>
      </c>
      <c r="G858" t="s">
        <v>52</v>
      </c>
      <c r="H858" t="s">
        <v>102</v>
      </c>
      <c r="I858" t="s">
        <v>31</v>
      </c>
      <c r="J858" t="s">
        <v>83</v>
      </c>
      <c r="K858" t="s">
        <v>61</v>
      </c>
      <c r="L858" t="s">
        <v>62</v>
      </c>
      <c r="M858" t="s">
        <v>63</v>
      </c>
      <c r="N858" t="s">
        <v>36</v>
      </c>
      <c r="O858" s="3">
        <v>92.03</v>
      </c>
      <c r="P858">
        <v>5</v>
      </c>
      <c r="Q858" s="4">
        <v>0.1</v>
      </c>
      <c r="R858" s="3">
        <v>414.13499999999999</v>
      </c>
      <c r="S858" s="3">
        <v>44.65</v>
      </c>
      <c r="T858" s="3">
        <v>223.25</v>
      </c>
      <c r="U858" s="3">
        <v>190.88499999999999</v>
      </c>
      <c r="V858" s="5">
        <v>0.46092457773431367</v>
      </c>
      <c r="W858">
        <v>4</v>
      </c>
      <c r="X858" t="s">
        <v>37</v>
      </c>
      <c r="Y858" s="6">
        <v>4</v>
      </c>
    </row>
    <row r="859" spans="1:25">
      <c r="A859" t="s">
        <v>1251</v>
      </c>
      <c r="B859" s="2">
        <v>45966</v>
      </c>
      <c r="C859">
        <v>2025</v>
      </c>
      <c r="D859" t="s">
        <v>488</v>
      </c>
      <c r="E859" t="s">
        <v>519</v>
      </c>
      <c r="F859" t="s">
        <v>39</v>
      </c>
      <c r="G859" t="s">
        <v>40</v>
      </c>
      <c r="H859" t="s">
        <v>41</v>
      </c>
      <c r="I859" t="s">
        <v>78</v>
      </c>
      <c r="J859" t="s">
        <v>1252</v>
      </c>
      <c r="K859" t="s">
        <v>47</v>
      </c>
      <c r="L859" t="s">
        <v>114</v>
      </c>
      <c r="M859" t="s">
        <v>115</v>
      </c>
      <c r="N859" t="s">
        <v>36</v>
      </c>
      <c r="O859" s="3">
        <v>17.73</v>
      </c>
      <c r="P859">
        <v>4</v>
      </c>
      <c r="Q859" s="4">
        <v>0</v>
      </c>
      <c r="R859" s="3">
        <v>70.92</v>
      </c>
      <c r="S859" s="3">
        <v>6.86</v>
      </c>
      <c r="T859" s="3">
        <v>27.44</v>
      </c>
      <c r="U859" s="3">
        <v>43.480000000000004</v>
      </c>
      <c r="V859" s="5">
        <v>0.61308516638465882</v>
      </c>
      <c r="W859">
        <v>3</v>
      </c>
      <c r="X859" t="s">
        <v>37</v>
      </c>
      <c r="Y859" s="6">
        <v>4</v>
      </c>
    </row>
    <row r="860" spans="1:25">
      <c r="A860" t="s">
        <v>1253</v>
      </c>
      <c r="B860" s="2">
        <v>45966</v>
      </c>
      <c r="C860">
        <v>2025</v>
      </c>
      <c r="D860" t="s">
        <v>488</v>
      </c>
      <c r="E860" t="s">
        <v>519</v>
      </c>
      <c r="F860" t="s">
        <v>28</v>
      </c>
      <c r="G860" t="s">
        <v>29</v>
      </c>
      <c r="H860" t="s">
        <v>106</v>
      </c>
      <c r="I860" t="s">
        <v>31</v>
      </c>
      <c r="J860" t="s">
        <v>749</v>
      </c>
      <c r="K860" t="s">
        <v>47</v>
      </c>
      <c r="L860" t="s">
        <v>114</v>
      </c>
      <c r="M860" t="s">
        <v>120</v>
      </c>
      <c r="N860" t="s">
        <v>44</v>
      </c>
      <c r="O860" s="3">
        <v>25.72</v>
      </c>
      <c r="P860">
        <v>2</v>
      </c>
      <c r="Q860" s="4">
        <v>0.05</v>
      </c>
      <c r="R860" s="3">
        <v>48.867999999999995</v>
      </c>
      <c r="S860" s="3">
        <v>11.31</v>
      </c>
      <c r="T860" s="3">
        <v>22.62</v>
      </c>
      <c r="U860" s="3">
        <v>26.247999999999994</v>
      </c>
      <c r="V860" s="5">
        <v>0.5371204059916509</v>
      </c>
      <c r="W860">
        <v>4</v>
      </c>
      <c r="X860" t="s">
        <v>37</v>
      </c>
      <c r="Y860" s="6">
        <v>4</v>
      </c>
    </row>
    <row r="861" spans="1:25">
      <c r="A861" t="s">
        <v>1254</v>
      </c>
      <c r="B861" s="2">
        <v>45966</v>
      </c>
      <c r="C861">
        <v>2025</v>
      </c>
      <c r="D861" t="s">
        <v>488</v>
      </c>
      <c r="E861" t="s">
        <v>519</v>
      </c>
      <c r="F861" t="s">
        <v>51</v>
      </c>
      <c r="G861" t="s">
        <v>52</v>
      </c>
      <c r="H861" t="s">
        <v>102</v>
      </c>
      <c r="I861" t="s">
        <v>78</v>
      </c>
      <c r="J861" t="s">
        <v>313</v>
      </c>
      <c r="K861" t="s">
        <v>47</v>
      </c>
      <c r="L861" t="s">
        <v>48</v>
      </c>
      <c r="M861" t="s">
        <v>49</v>
      </c>
      <c r="N861" t="s">
        <v>36</v>
      </c>
      <c r="O861" s="3">
        <v>32.69</v>
      </c>
      <c r="P861">
        <v>5</v>
      </c>
      <c r="Q861" s="4">
        <v>0.15</v>
      </c>
      <c r="R861" s="3">
        <v>138.93249999999998</v>
      </c>
      <c r="S861" s="3">
        <v>14.22</v>
      </c>
      <c r="T861" s="3">
        <v>71.100000000000009</v>
      </c>
      <c r="U861" s="3">
        <v>67.832499999999968</v>
      </c>
      <c r="V861" s="5">
        <v>0.48824069242257917</v>
      </c>
      <c r="W861">
        <v>3</v>
      </c>
      <c r="X861" t="s">
        <v>37</v>
      </c>
      <c r="Y861" s="6">
        <v>5</v>
      </c>
    </row>
    <row r="862" spans="1:25">
      <c r="A862" t="s">
        <v>1255</v>
      </c>
      <c r="B862" s="2">
        <v>45969</v>
      </c>
      <c r="C862">
        <v>2025</v>
      </c>
      <c r="D862" t="s">
        <v>488</v>
      </c>
      <c r="E862" t="s">
        <v>519</v>
      </c>
      <c r="F862" t="s">
        <v>51</v>
      </c>
      <c r="G862" t="s">
        <v>97</v>
      </c>
      <c r="H862" t="s">
        <v>98</v>
      </c>
      <c r="I862" t="s">
        <v>42</v>
      </c>
      <c r="J862" t="s">
        <v>787</v>
      </c>
      <c r="K862" t="s">
        <v>47</v>
      </c>
      <c r="L862" t="s">
        <v>114</v>
      </c>
      <c r="M862" t="s">
        <v>120</v>
      </c>
      <c r="N862" t="s">
        <v>44</v>
      </c>
      <c r="O862" s="3">
        <v>26.61</v>
      </c>
      <c r="P862">
        <v>10</v>
      </c>
      <c r="Q862" s="4">
        <v>0.15</v>
      </c>
      <c r="R862" s="3">
        <v>226.185</v>
      </c>
      <c r="S862" s="3">
        <v>10.84</v>
      </c>
      <c r="T862" s="3">
        <v>108.4</v>
      </c>
      <c r="U862" s="3">
        <v>117.785</v>
      </c>
      <c r="V862" s="5">
        <v>0.52074629175232656</v>
      </c>
      <c r="W862">
        <v>5</v>
      </c>
      <c r="X862" t="s">
        <v>37</v>
      </c>
      <c r="Y862" s="6">
        <v>5</v>
      </c>
    </row>
    <row r="863" spans="1:25">
      <c r="A863" t="s">
        <v>1256</v>
      </c>
      <c r="B863" s="2">
        <v>45970</v>
      </c>
      <c r="C863">
        <v>2025</v>
      </c>
      <c r="D863" t="s">
        <v>488</v>
      </c>
      <c r="E863" t="s">
        <v>519</v>
      </c>
      <c r="F863" t="s">
        <v>28</v>
      </c>
      <c r="G863" t="s">
        <v>29</v>
      </c>
      <c r="H863" t="s">
        <v>30</v>
      </c>
      <c r="I863" t="s">
        <v>31</v>
      </c>
      <c r="J863" t="s">
        <v>630</v>
      </c>
      <c r="K863" t="s">
        <v>47</v>
      </c>
      <c r="L863" t="s">
        <v>114</v>
      </c>
      <c r="M863" t="s">
        <v>115</v>
      </c>
      <c r="N863" t="s">
        <v>57</v>
      </c>
      <c r="O863" s="3">
        <v>17.46</v>
      </c>
      <c r="P863">
        <v>2</v>
      </c>
      <c r="Q863" s="4">
        <v>0</v>
      </c>
      <c r="R863" s="3">
        <v>34.92</v>
      </c>
      <c r="S863" s="3">
        <v>6.93</v>
      </c>
      <c r="T863" s="3">
        <v>13.86</v>
      </c>
      <c r="U863" s="3">
        <v>21.060000000000002</v>
      </c>
      <c r="V863" s="5">
        <v>0.60309278350515472</v>
      </c>
      <c r="W863">
        <v>7</v>
      </c>
      <c r="X863" t="s">
        <v>37</v>
      </c>
      <c r="Y863" s="6">
        <v>4</v>
      </c>
    </row>
    <row r="864" spans="1:25">
      <c r="A864" t="s">
        <v>1257</v>
      </c>
      <c r="B864" s="2">
        <v>45970</v>
      </c>
      <c r="C864">
        <v>2025</v>
      </c>
      <c r="D864" t="s">
        <v>488</v>
      </c>
      <c r="E864" t="s">
        <v>519</v>
      </c>
      <c r="F864" t="s">
        <v>51</v>
      </c>
      <c r="G864" t="s">
        <v>97</v>
      </c>
      <c r="H864" t="s">
        <v>98</v>
      </c>
      <c r="I864" t="s">
        <v>42</v>
      </c>
      <c r="J864" t="s">
        <v>676</v>
      </c>
      <c r="K864" t="s">
        <v>33</v>
      </c>
      <c r="L864" t="s">
        <v>73</v>
      </c>
      <c r="M864" t="s">
        <v>74</v>
      </c>
      <c r="N864" t="s">
        <v>36</v>
      </c>
      <c r="O864" s="3">
        <v>668.64</v>
      </c>
      <c r="P864">
        <v>1</v>
      </c>
      <c r="Q864" s="4">
        <v>0.2</v>
      </c>
      <c r="R864" s="3">
        <v>534.91200000000003</v>
      </c>
      <c r="S864" s="3">
        <v>411.72</v>
      </c>
      <c r="T864" s="3">
        <v>411.72</v>
      </c>
      <c r="U864" s="3">
        <v>123.19200000000001</v>
      </c>
      <c r="V864" s="5">
        <v>0.23030330222541279</v>
      </c>
      <c r="W864">
        <v>8</v>
      </c>
      <c r="X864" t="s">
        <v>58</v>
      </c>
      <c r="Y864" s="6">
        <v>3</v>
      </c>
    </row>
    <row r="865" spans="1:25">
      <c r="A865" t="s">
        <v>1258</v>
      </c>
      <c r="B865" s="2">
        <v>45971</v>
      </c>
      <c r="C865">
        <v>2025</v>
      </c>
      <c r="D865" t="s">
        <v>488</v>
      </c>
      <c r="E865" t="s">
        <v>519</v>
      </c>
      <c r="F865" t="s">
        <v>28</v>
      </c>
      <c r="G865" t="s">
        <v>29</v>
      </c>
      <c r="H865" t="s">
        <v>106</v>
      </c>
      <c r="I865" t="s">
        <v>31</v>
      </c>
      <c r="J865" t="s">
        <v>295</v>
      </c>
      <c r="K865" t="s">
        <v>61</v>
      </c>
      <c r="L865" t="s">
        <v>84</v>
      </c>
      <c r="M865" t="s">
        <v>85</v>
      </c>
      <c r="N865" t="s">
        <v>57</v>
      </c>
      <c r="O865" s="3">
        <v>150.86000000000001</v>
      </c>
      <c r="P865">
        <v>2</v>
      </c>
      <c r="Q865" s="4">
        <v>0.15</v>
      </c>
      <c r="R865" s="3">
        <v>256.46199999999999</v>
      </c>
      <c r="S865" s="3">
        <v>70.84</v>
      </c>
      <c r="T865" s="3">
        <v>141.68</v>
      </c>
      <c r="U865" s="3">
        <v>114.78199999999998</v>
      </c>
      <c r="V865" s="5">
        <v>0.44755948249643218</v>
      </c>
      <c r="W865">
        <v>1</v>
      </c>
      <c r="X865" t="s">
        <v>37</v>
      </c>
      <c r="Y865" s="6">
        <v>5</v>
      </c>
    </row>
    <row r="866" spans="1:25">
      <c r="A866" t="s">
        <v>1259</v>
      </c>
      <c r="B866" s="2">
        <v>45972</v>
      </c>
      <c r="C866">
        <v>2025</v>
      </c>
      <c r="D866" t="s">
        <v>488</v>
      </c>
      <c r="E866" t="s">
        <v>519</v>
      </c>
      <c r="F866" t="s">
        <v>39</v>
      </c>
      <c r="G866" t="s">
        <v>91</v>
      </c>
      <c r="H866" t="s">
        <v>92</v>
      </c>
      <c r="I866" t="s">
        <v>42</v>
      </c>
      <c r="J866" t="s">
        <v>302</v>
      </c>
      <c r="K866" t="s">
        <v>47</v>
      </c>
      <c r="L866" t="s">
        <v>55</v>
      </c>
      <c r="M866" t="s">
        <v>69</v>
      </c>
      <c r="N866" t="s">
        <v>36</v>
      </c>
      <c r="O866" s="3">
        <v>43.34</v>
      </c>
      <c r="P866">
        <v>11</v>
      </c>
      <c r="Q866" s="4">
        <v>0.2</v>
      </c>
      <c r="R866" s="3">
        <v>381.39200000000005</v>
      </c>
      <c r="S866" s="3">
        <v>21.45</v>
      </c>
      <c r="T866" s="3">
        <v>235.95</v>
      </c>
      <c r="U866" s="3">
        <v>145.44200000000006</v>
      </c>
      <c r="V866" s="5">
        <v>0.38134517766497472</v>
      </c>
      <c r="W866">
        <v>6</v>
      </c>
      <c r="X866" t="s">
        <v>37</v>
      </c>
      <c r="Y866" s="6">
        <v>4</v>
      </c>
    </row>
    <row r="867" spans="1:25">
      <c r="A867" t="s">
        <v>1260</v>
      </c>
      <c r="B867" s="2">
        <v>45972</v>
      </c>
      <c r="C867">
        <v>2025</v>
      </c>
      <c r="D867" t="s">
        <v>488</v>
      </c>
      <c r="E867" t="s">
        <v>519</v>
      </c>
      <c r="F867" t="s">
        <v>28</v>
      </c>
      <c r="G867" t="s">
        <v>29</v>
      </c>
      <c r="H867" t="s">
        <v>106</v>
      </c>
      <c r="I867" t="s">
        <v>71</v>
      </c>
      <c r="J867" t="s">
        <v>225</v>
      </c>
      <c r="K867" t="s">
        <v>33</v>
      </c>
      <c r="L867" t="s">
        <v>88</v>
      </c>
      <c r="M867" t="s">
        <v>100</v>
      </c>
      <c r="N867" t="s">
        <v>44</v>
      </c>
      <c r="O867" s="3">
        <v>295.23</v>
      </c>
      <c r="P867">
        <v>3</v>
      </c>
      <c r="Q867" s="4">
        <v>0</v>
      </c>
      <c r="R867" s="3">
        <v>885.69</v>
      </c>
      <c r="S867" s="3">
        <v>152.11000000000001</v>
      </c>
      <c r="T867" s="3">
        <v>456.33000000000004</v>
      </c>
      <c r="U867" s="3">
        <v>429.36</v>
      </c>
      <c r="V867" s="5">
        <v>0.48477458252887579</v>
      </c>
      <c r="W867">
        <v>7</v>
      </c>
      <c r="X867" t="s">
        <v>37</v>
      </c>
      <c r="Y867" s="6">
        <v>4</v>
      </c>
    </row>
    <row r="868" spans="1:25">
      <c r="A868" t="s">
        <v>1261</v>
      </c>
      <c r="B868" s="2">
        <v>45972</v>
      </c>
      <c r="C868">
        <v>2025</v>
      </c>
      <c r="D868" t="s">
        <v>488</v>
      </c>
      <c r="E868" t="s">
        <v>519</v>
      </c>
      <c r="F868" t="s">
        <v>39</v>
      </c>
      <c r="G868" t="s">
        <v>40</v>
      </c>
      <c r="H868" t="s">
        <v>41</v>
      </c>
      <c r="I868" t="s">
        <v>71</v>
      </c>
      <c r="J868" t="s">
        <v>1060</v>
      </c>
      <c r="K868" t="s">
        <v>47</v>
      </c>
      <c r="L868" t="s">
        <v>55</v>
      </c>
      <c r="M868" t="s">
        <v>56</v>
      </c>
      <c r="N868" t="s">
        <v>36</v>
      </c>
      <c r="O868" s="3">
        <v>37.18</v>
      </c>
      <c r="P868">
        <v>2</v>
      </c>
      <c r="Q868" s="4">
        <v>0</v>
      </c>
      <c r="R868" s="3">
        <v>74.36</v>
      </c>
      <c r="S868" s="3">
        <v>17.16</v>
      </c>
      <c r="T868" s="3">
        <v>34.32</v>
      </c>
      <c r="U868" s="3">
        <v>40.04</v>
      </c>
      <c r="V868" s="5">
        <v>0.53846153846153844</v>
      </c>
      <c r="W868">
        <v>3</v>
      </c>
      <c r="X868" t="s">
        <v>37</v>
      </c>
      <c r="Y868" s="6">
        <v>5</v>
      </c>
    </row>
    <row r="869" spans="1:25">
      <c r="A869" t="s">
        <v>1262</v>
      </c>
      <c r="B869" s="2">
        <v>45974</v>
      </c>
      <c r="C869">
        <v>2025</v>
      </c>
      <c r="D869" t="s">
        <v>488</v>
      </c>
      <c r="E869" t="s">
        <v>519</v>
      </c>
      <c r="F869" t="s">
        <v>39</v>
      </c>
      <c r="G869" t="s">
        <v>40</v>
      </c>
      <c r="H869" t="s">
        <v>41</v>
      </c>
      <c r="I869" t="s">
        <v>42</v>
      </c>
      <c r="J869" t="s">
        <v>127</v>
      </c>
      <c r="K869" t="s">
        <v>33</v>
      </c>
      <c r="L869" t="s">
        <v>88</v>
      </c>
      <c r="M869" t="s">
        <v>89</v>
      </c>
      <c r="N869" t="s">
        <v>36</v>
      </c>
      <c r="O869" s="3">
        <v>238.71</v>
      </c>
      <c r="P869">
        <v>5</v>
      </c>
      <c r="Q869" s="4">
        <v>0.1</v>
      </c>
      <c r="R869" s="3">
        <v>1074.1949999999999</v>
      </c>
      <c r="S869" s="3">
        <v>126.76</v>
      </c>
      <c r="T869" s="3">
        <v>633.80000000000007</v>
      </c>
      <c r="U869" s="3">
        <v>440.39499999999987</v>
      </c>
      <c r="V869" s="5">
        <v>0.40997677330466059</v>
      </c>
      <c r="W869">
        <v>6</v>
      </c>
      <c r="X869" t="s">
        <v>37</v>
      </c>
      <c r="Y869" s="6">
        <v>4</v>
      </c>
    </row>
    <row r="870" spans="1:25">
      <c r="A870" t="s">
        <v>1263</v>
      </c>
      <c r="B870" s="2">
        <v>45974</v>
      </c>
      <c r="C870">
        <v>2025</v>
      </c>
      <c r="D870" t="s">
        <v>488</v>
      </c>
      <c r="E870" t="s">
        <v>519</v>
      </c>
      <c r="F870" t="s">
        <v>51</v>
      </c>
      <c r="G870" t="s">
        <v>52</v>
      </c>
      <c r="H870" t="s">
        <v>102</v>
      </c>
      <c r="I870" t="s">
        <v>42</v>
      </c>
      <c r="J870" t="s">
        <v>109</v>
      </c>
      <c r="K870" t="s">
        <v>61</v>
      </c>
      <c r="L870" t="s">
        <v>84</v>
      </c>
      <c r="M870" t="s">
        <v>85</v>
      </c>
      <c r="N870" t="s">
        <v>57</v>
      </c>
      <c r="O870" s="3">
        <v>148.05000000000001</v>
      </c>
      <c r="P870">
        <v>4</v>
      </c>
      <c r="Q870" s="4">
        <v>0.05</v>
      </c>
      <c r="R870" s="3">
        <v>562.59</v>
      </c>
      <c r="S870" s="3">
        <v>73.44</v>
      </c>
      <c r="T870" s="3">
        <v>293.76</v>
      </c>
      <c r="U870" s="3">
        <v>268.83000000000004</v>
      </c>
      <c r="V870" s="5">
        <v>0.4778435450327948</v>
      </c>
      <c r="W870">
        <v>9</v>
      </c>
      <c r="X870" t="s">
        <v>37</v>
      </c>
      <c r="Y870" s="6">
        <v>4</v>
      </c>
    </row>
    <row r="871" spans="1:25">
      <c r="A871" t="s">
        <v>1264</v>
      </c>
      <c r="B871" s="2">
        <v>45974</v>
      </c>
      <c r="C871">
        <v>2025</v>
      </c>
      <c r="D871" t="s">
        <v>488</v>
      </c>
      <c r="E871" t="s">
        <v>519</v>
      </c>
      <c r="F871" t="s">
        <v>39</v>
      </c>
      <c r="G871" t="s">
        <v>111</v>
      </c>
      <c r="H871" t="s">
        <v>112</v>
      </c>
      <c r="I871" t="s">
        <v>42</v>
      </c>
      <c r="J871" t="s">
        <v>594</v>
      </c>
      <c r="K871" t="s">
        <v>61</v>
      </c>
      <c r="L871" t="s">
        <v>84</v>
      </c>
      <c r="M871" t="s">
        <v>85</v>
      </c>
      <c r="N871" t="s">
        <v>36</v>
      </c>
      <c r="O871" s="3">
        <v>155.22</v>
      </c>
      <c r="P871">
        <v>5</v>
      </c>
      <c r="Q871" s="4">
        <v>0</v>
      </c>
      <c r="R871" s="3">
        <v>776.1</v>
      </c>
      <c r="S871" s="3">
        <v>73.489999999999995</v>
      </c>
      <c r="T871" s="3">
        <v>367.45</v>
      </c>
      <c r="U871" s="3">
        <v>408.65000000000003</v>
      </c>
      <c r="V871" s="5">
        <v>0.52654297126658933</v>
      </c>
      <c r="W871">
        <v>4</v>
      </c>
      <c r="X871" t="s">
        <v>37</v>
      </c>
      <c r="Y871" s="6">
        <v>4</v>
      </c>
    </row>
    <row r="872" spans="1:25">
      <c r="A872" t="s">
        <v>1265</v>
      </c>
      <c r="B872" s="2">
        <v>45976</v>
      </c>
      <c r="C872">
        <v>2025</v>
      </c>
      <c r="D872" t="s">
        <v>488</v>
      </c>
      <c r="E872" t="s">
        <v>519</v>
      </c>
      <c r="F872" t="s">
        <v>51</v>
      </c>
      <c r="G872" t="s">
        <v>52</v>
      </c>
      <c r="H872" t="s">
        <v>53</v>
      </c>
      <c r="I872" t="s">
        <v>78</v>
      </c>
      <c r="J872" t="s">
        <v>751</v>
      </c>
      <c r="K872" t="s">
        <v>61</v>
      </c>
      <c r="L872" t="s">
        <v>84</v>
      </c>
      <c r="M872" t="s">
        <v>135</v>
      </c>
      <c r="N872" t="s">
        <v>57</v>
      </c>
      <c r="O872" s="3">
        <v>940.89</v>
      </c>
      <c r="P872">
        <v>1</v>
      </c>
      <c r="Q872" s="4">
        <v>0</v>
      </c>
      <c r="R872" s="3">
        <v>940.89</v>
      </c>
      <c r="S872" s="3">
        <v>565.61</v>
      </c>
      <c r="T872" s="3">
        <v>565.61</v>
      </c>
      <c r="U872" s="3">
        <v>375.28</v>
      </c>
      <c r="V872" s="5">
        <v>0.39885640191733357</v>
      </c>
      <c r="W872">
        <v>6</v>
      </c>
      <c r="X872" t="s">
        <v>37</v>
      </c>
      <c r="Y872" s="6">
        <v>4</v>
      </c>
    </row>
    <row r="873" spans="1:25">
      <c r="A873" t="s">
        <v>1266</v>
      </c>
      <c r="B873" s="2">
        <v>45977</v>
      </c>
      <c r="C873">
        <v>2025</v>
      </c>
      <c r="D873" t="s">
        <v>488</v>
      </c>
      <c r="E873" t="s">
        <v>519</v>
      </c>
      <c r="F873" t="s">
        <v>65</v>
      </c>
      <c r="G873" t="s">
        <v>66</v>
      </c>
      <c r="H873" t="s">
        <v>67</v>
      </c>
      <c r="I873" t="s">
        <v>71</v>
      </c>
      <c r="J873" t="s">
        <v>373</v>
      </c>
      <c r="K873" t="s">
        <v>47</v>
      </c>
      <c r="L873" t="s">
        <v>114</v>
      </c>
      <c r="M873" t="s">
        <v>115</v>
      </c>
      <c r="N873" t="s">
        <v>57</v>
      </c>
      <c r="O873" s="3">
        <v>17.43</v>
      </c>
      <c r="P873">
        <v>6</v>
      </c>
      <c r="Q873" s="4">
        <v>0</v>
      </c>
      <c r="R873" s="3">
        <v>104.58</v>
      </c>
      <c r="S873" s="3">
        <v>7.19</v>
      </c>
      <c r="T873" s="3">
        <v>43.14</v>
      </c>
      <c r="U873" s="3">
        <v>61.44</v>
      </c>
      <c r="V873" s="5">
        <v>0.58749282845668382</v>
      </c>
      <c r="W873">
        <v>3</v>
      </c>
      <c r="X873" t="s">
        <v>58</v>
      </c>
      <c r="Y873" s="6">
        <v>3</v>
      </c>
    </row>
    <row r="874" spans="1:25">
      <c r="A874" t="s">
        <v>1267</v>
      </c>
      <c r="B874" s="2">
        <v>45977</v>
      </c>
      <c r="C874">
        <v>2025</v>
      </c>
      <c r="D874" t="s">
        <v>488</v>
      </c>
      <c r="E874" t="s">
        <v>519</v>
      </c>
      <c r="F874" t="s">
        <v>39</v>
      </c>
      <c r="G874" t="s">
        <v>111</v>
      </c>
      <c r="H874" t="s">
        <v>112</v>
      </c>
      <c r="I874" t="s">
        <v>31</v>
      </c>
      <c r="J874" t="s">
        <v>248</v>
      </c>
      <c r="K874" t="s">
        <v>61</v>
      </c>
      <c r="L874" t="s">
        <v>62</v>
      </c>
      <c r="M874" t="s">
        <v>195</v>
      </c>
      <c r="N874" t="s">
        <v>44</v>
      </c>
      <c r="O874" s="3">
        <v>72.78</v>
      </c>
      <c r="P874">
        <v>5</v>
      </c>
      <c r="Q874" s="4">
        <v>0.15</v>
      </c>
      <c r="R874" s="3">
        <v>309.315</v>
      </c>
      <c r="S874" s="3">
        <v>32.39</v>
      </c>
      <c r="T874" s="3">
        <v>161.94999999999999</v>
      </c>
      <c r="U874" s="3">
        <v>147.36500000000001</v>
      </c>
      <c r="V874" s="5">
        <v>0.47642371045697757</v>
      </c>
      <c r="W874">
        <v>5</v>
      </c>
      <c r="X874" t="s">
        <v>37</v>
      </c>
      <c r="Y874" s="6">
        <v>4</v>
      </c>
    </row>
    <row r="875" spans="1:25">
      <c r="A875" t="s">
        <v>1268</v>
      </c>
      <c r="B875" s="2">
        <v>45980</v>
      </c>
      <c r="C875">
        <v>2025</v>
      </c>
      <c r="D875" t="s">
        <v>488</v>
      </c>
      <c r="E875" t="s">
        <v>519</v>
      </c>
      <c r="F875" t="s">
        <v>51</v>
      </c>
      <c r="G875" t="s">
        <v>97</v>
      </c>
      <c r="H875" t="s">
        <v>98</v>
      </c>
      <c r="I875" t="s">
        <v>78</v>
      </c>
      <c r="J875" t="s">
        <v>606</v>
      </c>
      <c r="K875" t="s">
        <v>33</v>
      </c>
      <c r="L875" t="s">
        <v>34</v>
      </c>
      <c r="M875" t="s">
        <v>150</v>
      </c>
      <c r="N875" t="s">
        <v>57</v>
      </c>
      <c r="O875" s="3">
        <v>440.36</v>
      </c>
      <c r="P875">
        <v>4</v>
      </c>
      <c r="Q875" s="4">
        <v>0.2</v>
      </c>
      <c r="R875" s="3">
        <v>1409.152</v>
      </c>
      <c r="S875" s="3">
        <v>250.78</v>
      </c>
      <c r="T875" s="3">
        <v>1003.12</v>
      </c>
      <c r="U875" s="3">
        <v>406.03200000000004</v>
      </c>
      <c r="V875" s="5">
        <v>0.28813924970478699</v>
      </c>
      <c r="W875">
        <v>6</v>
      </c>
      <c r="X875" t="s">
        <v>37</v>
      </c>
      <c r="Y875" s="6">
        <v>4</v>
      </c>
    </row>
    <row r="876" spans="1:25">
      <c r="A876" t="s">
        <v>1269</v>
      </c>
      <c r="B876" s="2">
        <v>45981</v>
      </c>
      <c r="C876">
        <v>2025</v>
      </c>
      <c r="D876" t="s">
        <v>488</v>
      </c>
      <c r="E876" t="s">
        <v>519</v>
      </c>
      <c r="F876" t="s">
        <v>39</v>
      </c>
      <c r="G876" t="s">
        <v>111</v>
      </c>
      <c r="H876" t="s">
        <v>112</v>
      </c>
      <c r="I876" t="s">
        <v>42</v>
      </c>
      <c r="J876" t="s">
        <v>367</v>
      </c>
      <c r="K876" t="s">
        <v>33</v>
      </c>
      <c r="L876" t="s">
        <v>34</v>
      </c>
      <c r="M876" t="s">
        <v>150</v>
      </c>
      <c r="N876" t="s">
        <v>44</v>
      </c>
      <c r="O876" s="3">
        <v>436.04</v>
      </c>
      <c r="P876">
        <v>4</v>
      </c>
      <c r="Q876" s="4">
        <v>0</v>
      </c>
      <c r="R876" s="3">
        <v>1744.16</v>
      </c>
      <c r="S876" s="3">
        <v>256.55</v>
      </c>
      <c r="T876" s="3">
        <v>1026.2</v>
      </c>
      <c r="U876" s="3">
        <v>717.96</v>
      </c>
      <c r="V876" s="5">
        <v>0.41163654710577013</v>
      </c>
      <c r="W876">
        <v>5</v>
      </c>
      <c r="X876" t="s">
        <v>37</v>
      </c>
      <c r="Y876" s="6">
        <v>4</v>
      </c>
    </row>
    <row r="877" spans="1:25">
      <c r="A877" t="s">
        <v>1270</v>
      </c>
      <c r="B877" s="2">
        <v>45982</v>
      </c>
      <c r="C877">
        <v>2025</v>
      </c>
      <c r="D877" t="s">
        <v>488</v>
      </c>
      <c r="E877" t="s">
        <v>519</v>
      </c>
      <c r="F877" t="s">
        <v>28</v>
      </c>
      <c r="G877" t="s">
        <v>29</v>
      </c>
      <c r="H877" t="s">
        <v>106</v>
      </c>
      <c r="I877" t="s">
        <v>71</v>
      </c>
      <c r="J877" t="s">
        <v>137</v>
      </c>
      <c r="K877" t="s">
        <v>61</v>
      </c>
      <c r="L877" t="s">
        <v>62</v>
      </c>
      <c r="M877" t="s">
        <v>63</v>
      </c>
      <c r="N877" t="s">
        <v>44</v>
      </c>
      <c r="O877" s="3">
        <v>91.69</v>
      </c>
      <c r="P877">
        <v>1</v>
      </c>
      <c r="Q877" s="4">
        <v>0.05</v>
      </c>
      <c r="R877" s="3">
        <v>87.105499999999992</v>
      </c>
      <c r="S877" s="3">
        <v>45.28</v>
      </c>
      <c r="T877" s="3">
        <v>45.28</v>
      </c>
      <c r="U877" s="3">
        <v>41.825499999999991</v>
      </c>
      <c r="V877" s="5">
        <v>0.48017059772345022</v>
      </c>
      <c r="W877">
        <v>7</v>
      </c>
      <c r="X877" t="s">
        <v>37</v>
      </c>
      <c r="Y877" s="6">
        <v>4</v>
      </c>
    </row>
    <row r="878" spans="1:25">
      <c r="A878" t="s">
        <v>1271</v>
      </c>
      <c r="B878" s="2">
        <v>45983</v>
      </c>
      <c r="C878">
        <v>2025</v>
      </c>
      <c r="D878" t="s">
        <v>488</v>
      </c>
      <c r="E878" t="s">
        <v>519</v>
      </c>
      <c r="F878" t="s">
        <v>39</v>
      </c>
      <c r="G878" t="s">
        <v>91</v>
      </c>
      <c r="H878" t="s">
        <v>92</v>
      </c>
      <c r="I878" t="s">
        <v>31</v>
      </c>
      <c r="J878" t="s">
        <v>203</v>
      </c>
      <c r="K878" t="s">
        <v>33</v>
      </c>
      <c r="L878" t="s">
        <v>73</v>
      </c>
      <c r="M878" t="s">
        <v>138</v>
      </c>
      <c r="N878" t="s">
        <v>36</v>
      </c>
      <c r="O878" s="3">
        <v>336.47</v>
      </c>
      <c r="P878">
        <v>5</v>
      </c>
      <c r="Q878" s="4">
        <v>0.2</v>
      </c>
      <c r="R878" s="3">
        <v>1345.88</v>
      </c>
      <c r="S878" s="3">
        <v>181.62</v>
      </c>
      <c r="T878" s="3">
        <v>908.1</v>
      </c>
      <c r="U878" s="3">
        <v>437.78000000000009</v>
      </c>
      <c r="V878" s="5">
        <v>0.32527417005973791</v>
      </c>
      <c r="W878">
        <v>6</v>
      </c>
      <c r="X878" t="s">
        <v>37</v>
      </c>
      <c r="Y878" s="6">
        <v>5</v>
      </c>
    </row>
    <row r="879" spans="1:25">
      <c r="A879" t="s">
        <v>1272</v>
      </c>
      <c r="B879" s="2">
        <v>45985</v>
      </c>
      <c r="C879">
        <v>2025</v>
      </c>
      <c r="D879" t="s">
        <v>488</v>
      </c>
      <c r="E879" t="s">
        <v>519</v>
      </c>
      <c r="F879" t="s">
        <v>39</v>
      </c>
      <c r="G879" t="s">
        <v>40</v>
      </c>
      <c r="H879" t="s">
        <v>41</v>
      </c>
      <c r="I879" t="s">
        <v>78</v>
      </c>
      <c r="J879" t="s">
        <v>1273</v>
      </c>
      <c r="K879" t="s">
        <v>61</v>
      </c>
      <c r="L879" t="s">
        <v>84</v>
      </c>
      <c r="M879" t="s">
        <v>85</v>
      </c>
      <c r="N879" t="s">
        <v>36</v>
      </c>
      <c r="O879" s="3">
        <v>141.84</v>
      </c>
      <c r="P879">
        <v>5</v>
      </c>
      <c r="Q879" s="4">
        <v>0.05</v>
      </c>
      <c r="R879" s="3">
        <v>673.74</v>
      </c>
      <c r="S879" s="3">
        <v>71.98</v>
      </c>
      <c r="T879" s="3">
        <v>359.90000000000003</v>
      </c>
      <c r="U879" s="3">
        <v>313.83999999999997</v>
      </c>
      <c r="V879" s="5">
        <v>0.4658176744738326</v>
      </c>
      <c r="W879">
        <v>4</v>
      </c>
      <c r="X879" t="s">
        <v>37</v>
      </c>
      <c r="Y879" s="6">
        <v>4</v>
      </c>
    </row>
    <row r="880" spans="1:25">
      <c r="A880" t="s">
        <v>1274</v>
      </c>
      <c r="B880" s="2">
        <v>45985</v>
      </c>
      <c r="C880">
        <v>2025</v>
      </c>
      <c r="D880" t="s">
        <v>488</v>
      </c>
      <c r="E880" t="s">
        <v>519</v>
      </c>
      <c r="F880" t="s">
        <v>28</v>
      </c>
      <c r="G880" t="s">
        <v>29</v>
      </c>
      <c r="H880" t="s">
        <v>106</v>
      </c>
      <c r="I880" t="s">
        <v>31</v>
      </c>
      <c r="J880" t="s">
        <v>1142</v>
      </c>
      <c r="K880" t="s">
        <v>47</v>
      </c>
      <c r="L880" t="s">
        <v>114</v>
      </c>
      <c r="M880" t="s">
        <v>115</v>
      </c>
      <c r="N880" t="s">
        <v>44</v>
      </c>
      <c r="O880" s="3">
        <v>18.309999999999999</v>
      </c>
      <c r="P880">
        <v>2</v>
      </c>
      <c r="Q880" s="4">
        <v>0</v>
      </c>
      <c r="R880" s="3">
        <v>36.619999999999997</v>
      </c>
      <c r="S880" s="3">
        <v>6.94</v>
      </c>
      <c r="T880" s="3">
        <v>13.88</v>
      </c>
      <c r="U880" s="3">
        <v>22.739999999999995</v>
      </c>
      <c r="V880" s="5">
        <v>0.62097214636810472</v>
      </c>
      <c r="W880">
        <v>7</v>
      </c>
      <c r="X880" t="s">
        <v>37</v>
      </c>
      <c r="Y880" s="6">
        <v>4</v>
      </c>
    </row>
    <row r="881" spans="1:25">
      <c r="A881" t="s">
        <v>1275</v>
      </c>
      <c r="B881" s="2">
        <v>45986</v>
      </c>
      <c r="C881">
        <v>2025</v>
      </c>
      <c r="D881" t="s">
        <v>488</v>
      </c>
      <c r="E881" t="s">
        <v>519</v>
      </c>
      <c r="F881" t="s">
        <v>51</v>
      </c>
      <c r="G881" t="s">
        <v>52</v>
      </c>
      <c r="H881" t="s">
        <v>102</v>
      </c>
      <c r="I881" t="s">
        <v>42</v>
      </c>
      <c r="J881" t="s">
        <v>639</v>
      </c>
      <c r="K881" t="s">
        <v>61</v>
      </c>
      <c r="L881" t="s">
        <v>62</v>
      </c>
      <c r="M881" t="s">
        <v>63</v>
      </c>
      <c r="N881" t="s">
        <v>44</v>
      </c>
      <c r="O881" s="3">
        <v>93.37</v>
      </c>
      <c r="P881">
        <v>3</v>
      </c>
      <c r="Q881" s="4">
        <v>0.15</v>
      </c>
      <c r="R881" s="3">
        <v>238.09350000000001</v>
      </c>
      <c r="S881" s="3">
        <v>43.45</v>
      </c>
      <c r="T881" s="3">
        <v>130.35000000000002</v>
      </c>
      <c r="U881" s="3">
        <v>107.74349999999998</v>
      </c>
      <c r="V881" s="5">
        <v>0.45252600343982502</v>
      </c>
      <c r="W881">
        <v>2</v>
      </c>
      <c r="X881" t="s">
        <v>58</v>
      </c>
      <c r="Y881" s="6">
        <v>4</v>
      </c>
    </row>
    <row r="882" spans="1:25">
      <c r="A882" t="s">
        <v>1276</v>
      </c>
      <c r="B882" s="2">
        <v>45987</v>
      </c>
      <c r="C882">
        <v>2025</v>
      </c>
      <c r="D882" t="s">
        <v>488</v>
      </c>
      <c r="E882" t="s">
        <v>519</v>
      </c>
      <c r="F882" t="s">
        <v>51</v>
      </c>
      <c r="G882" t="s">
        <v>52</v>
      </c>
      <c r="H882" t="s">
        <v>102</v>
      </c>
      <c r="I882" t="s">
        <v>42</v>
      </c>
      <c r="J882" t="s">
        <v>852</v>
      </c>
      <c r="K882" t="s">
        <v>61</v>
      </c>
      <c r="L882" t="s">
        <v>80</v>
      </c>
      <c r="M882" t="s">
        <v>81</v>
      </c>
      <c r="N882" t="s">
        <v>36</v>
      </c>
      <c r="O882" s="3">
        <v>1028.46</v>
      </c>
      <c r="P882">
        <v>5</v>
      </c>
      <c r="Q882" s="4">
        <v>0</v>
      </c>
      <c r="R882" s="3">
        <v>5142.3</v>
      </c>
      <c r="S882" s="3">
        <v>641.54999999999995</v>
      </c>
      <c r="T882" s="3">
        <v>3207.75</v>
      </c>
      <c r="U882" s="3">
        <v>1934.5500000000002</v>
      </c>
      <c r="V882" s="5">
        <v>0.37620325535266325</v>
      </c>
      <c r="W882">
        <v>6</v>
      </c>
      <c r="X882" t="s">
        <v>37</v>
      </c>
      <c r="Y882" s="6">
        <v>4</v>
      </c>
    </row>
    <row r="883" spans="1:25">
      <c r="A883" t="s">
        <v>1277</v>
      </c>
      <c r="B883" s="2">
        <v>45993</v>
      </c>
      <c r="C883">
        <v>2025</v>
      </c>
      <c r="D883" t="s">
        <v>488</v>
      </c>
      <c r="E883" t="s">
        <v>552</v>
      </c>
      <c r="F883" t="s">
        <v>51</v>
      </c>
      <c r="G883" t="s">
        <v>97</v>
      </c>
      <c r="H883" t="s">
        <v>98</v>
      </c>
      <c r="I883" t="s">
        <v>42</v>
      </c>
      <c r="J883" t="s">
        <v>995</v>
      </c>
      <c r="K883" t="s">
        <v>61</v>
      </c>
      <c r="L883" t="s">
        <v>84</v>
      </c>
      <c r="M883" t="s">
        <v>85</v>
      </c>
      <c r="N883" t="s">
        <v>36</v>
      </c>
      <c r="O883" s="3">
        <v>150.32</v>
      </c>
      <c r="P883">
        <v>5</v>
      </c>
      <c r="Q883" s="4">
        <v>0.1</v>
      </c>
      <c r="R883" s="3">
        <v>676.43999999999994</v>
      </c>
      <c r="S883" s="3">
        <v>71.16</v>
      </c>
      <c r="T883" s="3">
        <v>355.79999999999995</v>
      </c>
      <c r="U883" s="3">
        <v>320.64</v>
      </c>
      <c r="V883" s="5">
        <v>0.47401099875820474</v>
      </c>
      <c r="W883">
        <v>7</v>
      </c>
      <c r="X883" t="s">
        <v>37</v>
      </c>
      <c r="Y883" s="6">
        <v>4</v>
      </c>
    </row>
    <row r="884" spans="1:25">
      <c r="A884" t="s">
        <v>1278</v>
      </c>
      <c r="B884" s="2">
        <v>45998</v>
      </c>
      <c r="C884">
        <v>2025</v>
      </c>
      <c r="D884" t="s">
        <v>488</v>
      </c>
      <c r="E884" t="s">
        <v>552</v>
      </c>
      <c r="F884" t="s">
        <v>28</v>
      </c>
      <c r="G884" t="s">
        <v>29</v>
      </c>
      <c r="H884" t="s">
        <v>30</v>
      </c>
      <c r="I884" t="s">
        <v>42</v>
      </c>
      <c r="J884" t="s">
        <v>225</v>
      </c>
      <c r="K884" t="s">
        <v>61</v>
      </c>
      <c r="L884" t="s">
        <v>84</v>
      </c>
      <c r="M884" t="s">
        <v>85</v>
      </c>
      <c r="N884" t="s">
        <v>57</v>
      </c>
      <c r="O884" s="3">
        <v>149.78</v>
      </c>
      <c r="P884">
        <v>4</v>
      </c>
      <c r="Q884" s="4">
        <v>0.1</v>
      </c>
      <c r="R884" s="3">
        <v>539.20799999999997</v>
      </c>
      <c r="S884" s="3">
        <v>71.959999999999994</v>
      </c>
      <c r="T884" s="3">
        <v>287.83999999999997</v>
      </c>
      <c r="U884" s="3">
        <v>251.36799999999999</v>
      </c>
      <c r="V884" s="5">
        <v>0.46618002700256672</v>
      </c>
      <c r="W884">
        <v>1</v>
      </c>
      <c r="X884" t="s">
        <v>37</v>
      </c>
      <c r="Y884" s="6">
        <v>5</v>
      </c>
    </row>
    <row r="885" spans="1:25">
      <c r="A885" t="s">
        <v>1279</v>
      </c>
      <c r="B885" s="2">
        <v>45998</v>
      </c>
      <c r="C885">
        <v>2025</v>
      </c>
      <c r="D885" t="s">
        <v>488</v>
      </c>
      <c r="E885" t="s">
        <v>552</v>
      </c>
      <c r="F885" t="s">
        <v>39</v>
      </c>
      <c r="G885" t="s">
        <v>91</v>
      </c>
      <c r="H885" t="s">
        <v>92</v>
      </c>
      <c r="I885" t="s">
        <v>71</v>
      </c>
      <c r="J885" t="s">
        <v>1280</v>
      </c>
      <c r="K885" t="s">
        <v>61</v>
      </c>
      <c r="L885" t="s">
        <v>84</v>
      </c>
      <c r="M885" t="s">
        <v>135</v>
      </c>
      <c r="N885" t="s">
        <v>57</v>
      </c>
      <c r="O885" s="3">
        <v>869.35</v>
      </c>
      <c r="P885">
        <v>4</v>
      </c>
      <c r="Q885" s="4">
        <v>0</v>
      </c>
      <c r="R885" s="3">
        <v>3477.4</v>
      </c>
      <c r="S885" s="3">
        <v>558.01</v>
      </c>
      <c r="T885" s="3">
        <v>2232.04</v>
      </c>
      <c r="U885" s="3">
        <v>1245.3600000000001</v>
      </c>
      <c r="V885" s="5">
        <v>0.35812963708517859</v>
      </c>
      <c r="W885">
        <v>4</v>
      </c>
      <c r="X885" t="s">
        <v>37</v>
      </c>
      <c r="Y885" s="6">
        <v>4</v>
      </c>
    </row>
    <row r="886" spans="1:25">
      <c r="A886" t="s">
        <v>1281</v>
      </c>
      <c r="B886" s="2">
        <v>45999</v>
      </c>
      <c r="C886">
        <v>2025</v>
      </c>
      <c r="D886" t="s">
        <v>488</v>
      </c>
      <c r="E886" t="s">
        <v>552</v>
      </c>
      <c r="F886" t="s">
        <v>28</v>
      </c>
      <c r="G886" t="s">
        <v>29</v>
      </c>
      <c r="H886" t="s">
        <v>30</v>
      </c>
      <c r="I886" t="s">
        <v>71</v>
      </c>
      <c r="J886" t="s">
        <v>598</v>
      </c>
      <c r="K886" t="s">
        <v>61</v>
      </c>
      <c r="L886" t="s">
        <v>80</v>
      </c>
      <c r="M886" t="s">
        <v>187</v>
      </c>
      <c r="N886" t="s">
        <v>36</v>
      </c>
      <c r="O886" s="3">
        <v>1309.21</v>
      </c>
      <c r="P886">
        <v>2</v>
      </c>
      <c r="Q886" s="4">
        <v>0</v>
      </c>
      <c r="R886" s="3">
        <v>2618.42</v>
      </c>
      <c r="S886" s="3">
        <v>828.73</v>
      </c>
      <c r="T886" s="3">
        <v>1657.46</v>
      </c>
      <c r="U886" s="3">
        <v>960.96</v>
      </c>
      <c r="V886" s="5">
        <v>0.36699994653264184</v>
      </c>
      <c r="W886">
        <v>7</v>
      </c>
      <c r="X886" t="s">
        <v>58</v>
      </c>
      <c r="Y886" s="6">
        <v>3</v>
      </c>
    </row>
    <row r="887" spans="1:25">
      <c r="A887" t="s">
        <v>1282</v>
      </c>
      <c r="B887" s="2">
        <v>46001</v>
      </c>
      <c r="C887">
        <v>2025</v>
      </c>
      <c r="D887" t="s">
        <v>488</v>
      </c>
      <c r="E887" t="s">
        <v>552</v>
      </c>
      <c r="F887" t="s">
        <v>28</v>
      </c>
      <c r="G887" t="s">
        <v>29</v>
      </c>
      <c r="H887" t="s">
        <v>30</v>
      </c>
      <c r="I887" t="s">
        <v>42</v>
      </c>
      <c r="J887" t="s">
        <v>239</v>
      </c>
      <c r="K887" t="s">
        <v>61</v>
      </c>
      <c r="L887" t="s">
        <v>84</v>
      </c>
      <c r="M887" t="s">
        <v>135</v>
      </c>
      <c r="N887" t="s">
        <v>36</v>
      </c>
      <c r="O887" s="3">
        <v>873.93</v>
      </c>
      <c r="P887">
        <v>4</v>
      </c>
      <c r="Q887" s="4">
        <v>0.15</v>
      </c>
      <c r="R887" s="3">
        <v>2971.3619999999996</v>
      </c>
      <c r="S887" s="3">
        <v>558.07000000000005</v>
      </c>
      <c r="T887" s="3">
        <v>2232.2800000000002</v>
      </c>
      <c r="U887" s="3">
        <v>739.08199999999943</v>
      </c>
      <c r="V887" s="5">
        <v>0.24873509185350001</v>
      </c>
      <c r="W887">
        <v>4</v>
      </c>
      <c r="X887" t="s">
        <v>37</v>
      </c>
      <c r="Y887" s="6">
        <v>4</v>
      </c>
    </row>
    <row r="888" spans="1:25">
      <c r="A888" t="s">
        <v>1283</v>
      </c>
      <c r="B888" s="2">
        <v>46002</v>
      </c>
      <c r="C888">
        <v>2025</v>
      </c>
      <c r="D888" t="s">
        <v>488</v>
      </c>
      <c r="E888" t="s">
        <v>552</v>
      </c>
      <c r="F888" t="s">
        <v>51</v>
      </c>
      <c r="G888" t="s">
        <v>52</v>
      </c>
      <c r="H888" t="s">
        <v>53</v>
      </c>
      <c r="I888" t="s">
        <v>78</v>
      </c>
      <c r="J888" t="s">
        <v>569</v>
      </c>
      <c r="K888" t="s">
        <v>47</v>
      </c>
      <c r="L888" t="s">
        <v>114</v>
      </c>
      <c r="M888" t="s">
        <v>115</v>
      </c>
      <c r="N888" t="s">
        <v>36</v>
      </c>
      <c r="O888" s="3">
        <v>17.97</v>
      </c>
      <c r="P888">
        <v>5</v>
      </c>
      <c r="Q888" s="4">
        <v>0.1</v>
      </c>
      <c r="R888" s="3">
        <v>80.864999999999995</v>
      </c>
      <c r="S888" s="3">
        <v>6.89</v>
      </c>
      <c r="T888" s="3">
        <v>34.449999999999996</v>
      </c>
      <c r="U888" s="3">
        <v>46.414999999999999</v>
      </c>
      <c r="V888" s="5">
        <v>0.57398132690286285</v>
      </c>
      <c r="W888">
        <v>7</v>
      </c>
      <c r="X888" t="s">
        <v>37</v>
      </c>
      <c r="Y888" s="6">
        <v>4</v>
      </c>
    </row>
    <row r="889" spans="1:25">
      <c r="A889" t="s">
        <v>1284</v>
      </c>
      <c r="B889" s="2">
        <v>46003</v>
      </c>
      <c r="C889">
        <v>2025</v>
      </c>
      <c r="D889" t="s">
        <v>488</v>
      </c>
      <c r="E889" t="s">
        <v>552</v>
      </c>
      <c r="F889" t="s">
        <v>65</v>
      </c>
      <c r="G889" t="s">
        <v>76</v>
      </c>
      <c r="H889" t="s">
        <v>77</v>
      </c>
      <c r="I889" t="s">
        <v>71</v>
      </c>
      <c r="J889" t="s">
        <v>1285</v>
      </c>
      <c r="K889" t="s">
        <v>61</v>
      </c>
      <c r="L889" t="s">
        <v>84</v>
      </c>
      <c r="M889" t="s">
        <v>135</v>
      </c>
      <c r="N889" t="s">
        <v>57</v>
      </c>
      <c r="O889" s="3">
        <v>911.78</v>
      </c>
      <c r="P889">
        <v>5</v>
      </c>
      <c r="Q889" s="4">
        <v>0</v>
      </c>
      <c r="R889" s="3">
        <v>4558.8999999999996</v>
      </c>
      <c r="S889" s="3">
        <v>565.03</v>
      </c>
      <c r="T889" s="3">
        <v>2825.1499999999996</v>
      </c>
      <c r="U889" s="3">
        <v>1733.75</v>
      </c>
      <c r="V889" s="5">
        <v>0.38030007238588259</v>
      </c>
      <c r="W889">
        <v>2</v>
      </c>
      <c r="X889" t="s">
        <v>37</v>
      </c>
      <c r="Y889" s="6">
        <v>5</v>
      </c>
    </row>
    <row r="890" spans="1:25">
      <c r="A890" t="s">
        <v>1286</v>
      </c>
      <c r="B890" s="2">
        <v>46005</v>
      </c>
      <c r="C890">
        <v>2025</v>
      </c>
      <c r="D890" t="s">
        <v>488</v>
      </c>
      <c r="E890" t="s">
        <v>552</v>
      </c>
      <c r="F890" t="s">
        <v>51</v>
      </c>
      <c r="G890" t="s">
        <v>52</v>
      </c>
      <c r="H890" t="s">
        <v>53</v>
      </c>
      <c r="I890" t="s">
        <v>78</v>
      </c>
      <c r="J890" t="s">
        <v>977</v>
      </c>
      <c r="K890" t="s">
        <v>47</v>
      </c>
      <c r="L890" t="s">
        <v>48</v>
      </c>
      <c r="M890" t="s">
        <v>49</v>
      </c>
      <c r="N890" t="s">
        <v>36</v>
      </c>
      <c r="O890" s="3">
        <v>31.19</v>
      </c>
      <c r="P890">
        <v>6</v>
      </c>
      <c r="Q890" s="4">
        <v>0.2</v>
      </c>
      <c r="R890" s="3">
        <v>149.71200000000002</v>
      </c>
      <c r="S890" s="3">
        <v>14.35</v>
      </c>
      <c r="T890" s="3">
        <v>86.1</v>
      </c>
      <c r="U890" s="3">
        <v>63.612000000000023</v>
      </c>
      <c r="V890" s="5">
        <v>0.42489579993587701</v>
      </c>
      <c r="W890">
        <v>3</v>
      </c>
      <c r="X890" t="s">
        <v>58</v>
      </c>
      <c r="Y890" s="6">
        <v>4</v>
      </c>
    </row>
    <row r="891" spans="1:25">
      <c r="A891" t="s">
        <v>1287</v>
      </c>
      <c r="B891" s="2">
        <v>46006</v>
      </c>
      <c r="C891">
        <v>2025</v>
      </c>
      <c r="D891" t="s">
        <v>488</v>
      </c>
      <c r="E891" t="s">
        <v>552</v>
      </c>
      <c r="F891" t="s">
        <v>39</v>
      </c>
      <c r="G891" t="s">
        <v>111</v>
      </c>
      <c r="H891" t="s">
        <v>112</v>
      </c>
      <c r="I891" t="s">
        <v>31</v>
      </c>
      <c r="J891" t="s">
        <v>290</v>
      </c>
      <c r="K891" t="s">
        <v>33</v>
      </c>
      <c r="L891" t="s">
        <v>88</v>
      </c>
      <c r="M891" t="s">
        <v>89</v>
      </c>
      <c r="N891" t="s">
        <v>36</v>
      </c>
      <c r="O891" s="3">
        <v>241.41</v>
      </c>
      <c r="P891">
        <v>1</v>
      </c>
      <c r="Q891" s="4">
        <v>0.15</v>
      </c>
      <c r="R891" s="3">
        <v>205.1985</v>
      </c>
      <c r="S891" s="3">
        <v>129.22999999999999</v>
      </c>
      <c r="T891" s="3">
        <v>129.22999999999999</v>
      </c>
      <c r="U891" s="3">
        <v>75.968500000000006</v>
      </c>
      <c r="V891" s="5">
        <v>0.37021956788183152</v>
      </c>
      <c r="W891">
        <v>6</v>
      </c>
      <c r="X891" t="s">
        <v>37</v>
      </c>
      <c r="Y891" s="6">
        <v>4</v>
      </c>
    </row>
    <row r="892" spans="1:25">
      <c r="A892" t="s">
        <v>1288</v>
      </c>
      <c r="B892" s="2">
        <v>46008</v>
      </c>
      <c r="C892">
        <v>2025</v>
      </c>
      <c r="D892" t="s">
        <v>488</v>
      </c>
      <c r="E892" t="s">
        <v>552</v>
      </c>
      <c r="F892" t="s">
        <v>65</v>
      </c>
      <c r="G892" t="s">
        <v>76</v>
      </c>
      <c r="H892" t="s">
        <v>126</v>
      </c>
      <c r="I892" t="s">
        <v>31</v>
      </c>
      <c r="J892" t="s">
        <v>413</v>
      </c>
      <c r="K892" t="s">
        <v>33</v>
      </c>
      <c r="L892" t="s">
        <v>34</v>
      </c>
      <c r="M892" t="s">
        <v>35</v>
      </c>
      <c r="N892" t="s">
        <v>36</v>
      </c>
      <c r="O892" s="3">
        <v>187.13</v>
      </c>
      <c r="P892">
        <v>3</v>
      </c>
      <c r="Q892" s="4">
        <v>0</v>
      </c>
      <c r="R892" s="3">
        <v>561.39</v>
      </c>
      <c r="S892" s="3">
        <v>94.12</v>
      </c>
      <c r="T892" s="3">
        <v>282.36</v>
      </c>
      <c r="U892" s="3">
        <v>279.02999999999997</v>
      </c>
      <c r="V892" s="5">
        <v>0.4970341473841714</v>
      </c>
      <c r="W892">
        <v>2</v>
      </c>
      <c r="X892" t="s">
        <v>37</v>
      </c>
      <c r="Y892" s="6">
        <v>5</v>
      </c>
    </row>
    <row r="893" spans="1:25">
      <c r="A893" t="s">
        <v>1289</v>
      </c>
      <c r="B893" s="2">
        <v>46009</v>
      </c>
      <c r="C893">
        <v>2025</v>
      </c>
      <c r="D893" t="s">
        <v>488</v>
      </c>
      <c r="E893" t="s">
        <v>552</v>
      </c>
      <c r="F893" t="s">
        <v>65</v>
      </c>
      <c r="G893" t="s">
        <v>76</v>
      </c>
      <c r="H893" t="s">
        <v>126</v>
      </c>
      <c r="I893" t="s">
        <v>31</v>
      </c>
      <c r="J893" t="s">
        <v>357</v>
      </c>
      <c r="K893" t="s">
        <v>61</v>
      </c>
      <c r="L893" t="s">
        <v>62</v>
      </c>
      <c r="M893" t="s">
        <v>63</v>
      </c>
      <c r="N893" t="s">
        <v>44</v>
      </c>
      <c r="O893" s="3">
        <v>90.61</v>
      </c>
      <c r="P893">
        <v>4</v>
      </c>
      <c r="Q893" s="4">
        <v>0.15</v>
      </c>
      <c r="R893" s="3">
        <v>308.07400000000001</v>
      </c>
      <c r="S893" s="3">
        <v>42.98</v>
      </c>
      <c r="T893" s="3">
        <v>171.92</v>
      </c>
      <c r="U893" s="3">
        <v>136.15400000000002</v>
      </c>
      <c r="V893" s="5">
        <v>0.44195225822367362</v>
      </c>
      <c r="W893">
        <v>3</v>
      </c>
      <c r="X893" t="s">
        <v>37</v>
      </c>
      <c r="Y893" s="6">
        <v>4</v>
      </c>
    </row>
    <row r="894" spans="1:25">
      <c r="A894" t="s">
        <v>1290</v>
      </c>
      <c r="B894" s="2">
        <v>46013</v>
      </c>
      <c r="C894">
        <v>2025</v>
      </c>
      <c r="D894" t="s">
        <v>488</v>
      </c>
      <c r="E894" t="s">
        <v>552</v>
      </c>
      <c r="F894" t="s">
        <v>39</v>
      </c>
      <c r="G894" t="s">
        <v>111</v>
      </c>
      <c r="H894" t="s">
        <v>112</v>
      </c>
      <c r="I894" t="s">
        <v>78</v>
      </c>
      <c r="J894" t="s">
        <v>324</v>
      </c>
      <c r="K894" t="s">
        <v>61</v>
      </c>
      <c r="L894" t="s">
        <v>84</v>
      </c>
      <c r="M894" t="s">
        <v>85</v>
      </c>
      <c r="N894" t="s">
        <v>36</v>
      </c>
      <c r="O894" s="3">
        <v>148.74</v>
      </c>
      <c r="P894">
        <v>2</v>
      </c>
      <c r="Q894" s="4">
        <v>0</v>
      </c>
      <c r="R894" s="3">
        <v>297.48</v>
      </c>
      <c r="S894" s="3">
        <v>70.89</v>
      </c>
      <c r="T894" s="3">
        <v>141.78</v>
      </c>
      <c r="U894" s="3">
        <v>155.70000000000002</v>
      </c>
      <c r="V894" s="5">
        <v>0.52339653085921745</v>
      </c>
      <c r="W894">
        <v>2</v>
      </c>
      <c r="X894" t="s">
        <v>37</v>
      </c>
      <c r="Y894" s="6">
        <v>5</v>
      </c>
    </row>
    <row r="895" spans="1:25">
      <c r="A895" t="s">
        <v>1291</v>
      </c>
      <c r="B895" s="2">
        <v>46014</v>
      </c>
      <c r="C895">
        <v>2025</v>
      </c>
      <c r="D895" t="s">
        <v>488</v>
      </c>
      <c r="E895" t="s">
        <v>552</v>
      </c>
      <c r="F895" t="s">
        <v>28</v>
      </c>
      <c r="G895" t="s">
        <v>29</v>
      </c>
      <c r="H895" t="s">
        <v>60</v>
      </c>
      <c r="I895" t="s">
        <v>71</v>
      </c>
      <c r="J895" t="s">
        <v>144</v>
      </c>
      <c r="K895" t="s">
        <v>47</v>
      </c>
      <c r="L895" t="s">
        <v>48</v>
      </c>
      <c r="M895" t="s">
        <v>104</v>
      </c>
      <c r="N895" t="s">
        <v>57</v>
      </c>
      <c r="O895" s="3">
        <v>56.48</v>
      </c>
      <c r="P895">
        <v>5</v>
      </c>
      <c r="Q895" s="4">
        <v>0.1</v>
      </c>
      <c r="R895" s="3">
        <v>254.16</v>
      </c>
      <c r="S895" s="3">
        <v>31.07</v>
      </c>
      <c r="T895" s="3">
        <v>155.35</v>
      </c>
      <c r="U895" s="3">
        <v>98.81</v>
      </c>
      <c r="V895" s="5">
        <v>0.38877085300598052</v>
      </c>
      <c r="W895">
        <v>7</v>
      </c>
      <c r="X895" t="s">
        <v>37</v>
      </c>
      <c r="Y895" s="6">
        <v>4</v>
      </c>
    </row>
    <row r="896" spans="1:25">
      <c r="A896" t="s">
        <v>1292</v>
      </c>
      <c r="B896" s="2">
        <v>46015</v>
      </c>
      <c r="C896">
        <v>2025</v>
      </c>
      <c r="D896" t="s">
        <v>488</v>
      </c>
      <c r="E896" t="s">
        <v>552</v>
      </c>
      <c r="F896" t="s">
        <v>51</v>
      </c>
      <c r="G896" t="s">
        <v>52</v>
      </c>
      <c r="H896" t="s">
        <v>53</v>
      </c>
      <c r="I896" t="s">
        <v>71</v>
      </c>
      <c r="J896" t="s">
        <v>99</v>
      </c>
      <c r="K896" t="s">
        <v>47</v>
      </c>
      <c r="L896" t="s">
        <v>114</v>
      </c>
      <c r="M896" t="s">
        <v>120</v>
      </c>
      <c r="N896" t="s">
        <v>36</v>
      </c>
      <c r="O896" s="3">
        <v>24.72</v>
      </c>
      <c r="P896">
        <v>3</v>
      </c>
      <c r="Q896" s="4">
        <v>0.05</v>
      </c>
      <c r="R896" s="3">
        <v>70.451999999999998</v>
      </c>
      <c r="S896" s="3">
        <v>11.01</v>
      </c>
      <c r="T896" s="3">
        <v>33.03</v>
      </c>
      <c r="U896" s="3">
        <v>37.421999999999997</v>
      </c>
      <c r="V896" s="5">
        <v>0.53117015840572301</v>
      </c>
      <c r="W896">
        <v>1</v>
      </c>
      <c r="X896" t="s">
        <v>37</v>
      </c>
      <c r="Y896" s="6">
        <v>5</v>
      </c>
    </row>
    <row r="897" spans="1:25">
      <c r="A897" t="s">
        <v>1293</v>
      </c>
      <c r="B897" s="2">
        <v>46017</v>
      </c>
      <c r="C897">
        <v>2025</v>
      </c>
      <c r="D897" t="s">
        <v>488</v>
      </c>
      <c r="E897" t="s">
        <v>552</v>
      </c>
      <c r="F897" t="s">
        <v>28</v>
      </c>
      <c r="G897" t="s">
        <v>29</v>
      </c>
      <c r="H897" t="s">
        <v>60</v>
      </c>
      <c r="I897" t="s">
        <v>42</v>
      </c>
      <c r="J897" t="s">
        <v>804</v>
      </c>
      <c r="K897" t="s">
        <v>61</v>
      </c>
      <c r="L897" t="s">
        <v>84</v>
      </c>
      <c r="M897" t="s">
        <v>135</v>
      </c>
      <c r="N897" t="s">
        <v>44</v>
      </c>
      <c r="O897" s="3">
        <v>914</v>
      </c>
      <c r="P897">
        <v>3</v>
      </c>
      <c r="Q897" s="4">
        <v>0</v>
      </c>
      <c r="R897" s="3">
        <v>2742</v>
      </c>
      <c r="S897" s="3">
        <v>558.37</v>
      </c>
      <c r="T897" s="3">
        <v>1675.1100000000001</v>
      </c>
      <c r="U897" s="3">
        <v>1066.8899999999999</v>
      </c>
      <c r="V897" s="5">
        <v>0.38909190371991242</v>
      </c>
      <c r="W897">
        <v>1</v>
      </c>
      <c r="X897" t="s">
        <v>37</v>
      </c>
      <c r="Y897" s="6">
        <v>5</v>
      </c>
    </row>
    <row r="898" spans="1:25">
      <c r="A898" t="s">
        <v>1294</v>
      </c>
      <c r="B898" s="2">
        <v>46017</v>
      </c>
      <c r="C898">
        <v>2025</v>
      </c>
      <c r="D898" t="s">
        <v>488</v>
      </c>
      <c r="E898" t="s">
        <v>552</v>
      </c>
      <c r="F898" t="s">
        <v>65</v>
      </c>
      <c r="G898" t="s">
        <v>76</v>
      </c>
      <c r="H898" t="s">
        <v>77</v>
      </c>
      <c r="I898" t="s">
        <v>71</v>
      </c>
      <c r="J898" t="s">
        <v>787</v>
      </c>
      <c r="K898" t="s">
        <v>61</v>
      </c>
      <c r="L898" t="s">
        <v>80</v>
      </c>
      <c r="M898" t="s">
        <v>81</v>
      </c>
      <c r="N898" t="s">
        <v>36</v>
      </c>
      <c r="O898" s="3">
        <v>953.14</v>
      </c>
      <c r="P898">
        <v>5</v>
      </c>
      <c r="Q898" s="4">
        <v>0.1</v>
      </c>
      <c r="R898" s="3">
        <v>4289.13</v>
      </c>
      <c r="S898" s="3">
        <v>657.24</v>
      </c>
      <c r="T898" s="3">
        <v>3286.2</v>
      </c>
      <c r="U898" s="3">
        <v>1002.9300000000003</v>
      </c>
      <c r="V898" s="5">
        <v>0.23383063698232515</v>
      </c>
      <c r="W898">
        <v>7</v>
      </c>
      <c r="X898" t="s">
        <v>37</v>
      </c>
      <c r="Y898" s="6">
        <v>4</v>
      </c>
    </row>
    <row r="899" spans="1:25">
      <c r="A899" t="s">
        <v>1295</v>
      </c>
      <c r="B899" s="2">
        <v>46017</v>
      </c>
      <c r="C899">
        <v>2025</v>
      </c>
      <c r="D899" t="s">
        <v>488</v>
      </c>
      <c r="E899" t="s">
        <v>552</v>
      </c>
      <c r="F899" t="s">
        <v>51</v>
      </c>
      <c r="G899" t="s">
        <v>52</v>
      </c>
      <c r="H899" t="s">
        <v>102</v>
      </c>
      <c r="I899" t="s">
        <v>42</v>
      </c>
      <c r="J899" t="s">
        <v>146</v>
      </c>
      <c r="K899" t="s">
        <v>33</v>
      </c>
      <c r="L899" t="s">
        <v>88</v>
      </c>
      <c r="M899" t="s">
        <v>100</v>
      </c>
      <c r="N899" t="s">
        <v>36</v>
      </c>
      <c r="O899" s="3">
        <v>289.17</v>
      </c>
      <c r="P899">
        <v>1</v>
      </c>
      <c r="Q899" s="4">
        <v>0.2</v>
      </c>
      <c r="R899" s="3">
        <v>231.33600000000001</v>
      </c>
      <c r="S899" s="3">
        <v>151.99</v>
      </c>
      <c r="T899" s="3">
        <v>151.99</v>
      </c>
      <c r="U899" s="3">
        <v>79.346000000000004</v>
      </c>
      <c r="V899" s="5">
        <v>0.3429902825327662</v>
      </c>
      <c r="W899">
        <v>1</v>
      </c>
      <c r="X899" t="s">
        <v>37</v>
      </c>
      <c r="Y899" s="6">
        <v>5</v>
      </c>
    </row>
    <row r="900" spans="1:25">
      <c r="A900" t="s">
        <v>1296</v>
      </c>
      <c r="B900" s="2">
        <v>46021</v>
      </c>
      <c r="C900">
        <v>2025</v>
      </c>
      <c r="D900" t="s">
        <v>488</v>
      </c>
      <c r="E900" t="s">
        <v>552</v>
      </c>
      <c r="F900" t="s">
        <v>28</v>
      </c>
      <c r="G900" t="s">
        <v>29</v>
      </c>
      <c r="H900" t="s">
        <v>106</v>
      </c>
      <c r="I900" t="s">
        <v>42</v>
      </c>
      <c r="J900" t="s">
        <v>999</v>
      </c>
      <c r="K900" t="s">
        <v>61</v>
      </c>
      <c r="L900" t="s">
        <v>84</v>
      </c>
      <c r="M900" t="s">
        <v>85</v>
      </c>
      <c r="N900" t="s">
        <v>44</v>
      </c>
      <c r="O900" s="3">
        <v>147.58000000000001</v>
      </c>
      <c r="P900">
        <v>4</v>
      </c>
      <c r="Q900" s="4">
        <v>0</v>
      </c>
      <c r="R900" s="3">
        <v>590.32000000000005</v>
      </c>
      <c r="S900" s="3">
        <v>73.55</v>
      </c>
      <c r="T900" s="3">
        <v>294.2</v>
      </c>
      <c r="U900" s="3">
        <v>296.12000000000006</v>
      </c>
      <c r="V900" s="5">
        <v>0.50162623661742789</v>
      </c>
      <c r="W900">
        <v>4</v>
      </c>
      <c r="X900" t="s">
        <v>37</v>
      </c>
      <c r="Y900" s="6">
        <v>4</v>
      </c>
    </row>
    <row r="901" spans="1:25">
      <c r="A901" t="s">
        <v>1297</v>
      </c>
      <c r="B901" s="2">
        <v>46021</v>
      </c>
      <c r="C901">
        <v>2025</v>
      </c>
      <c r="D901" t="s">
        <v>488</v>
      </c>
      <c r="E901" t="s">
        <v>552</v>
      </c>
      <c r="F901" t="s">
        <v>39</v>
      </c>
      <c r="G901" t="s">
        <v>91</v>
      </c>
      <c r="H901" t="s">
        <v>92</v>
      </c>
      <c r="I901" t="s">
        <v>31</v>
      </c>
      <c r="J901" t="s">
        <v>317</v>
      </c>
      <c r="K901" t="s">
        <v>33</v>
      </c>
      <c r="L901" t="s">
        <v>34</v>
      </c>
      <c r="M901" t="s">
        <v>35</v>
      </c>
      <c r="N901" t="s">
        <v>44</v>
      </c>
      <c r="O901" s="3">
        <v>185.4</v>
      </c>
      <c r="P901">
        <v>4</v>
      </c>
      <c r="Q901" s="4">
        <v>0.2</v>
      </c>
      <c r="R901" s="3">
        <v>593.28000000000009</v>
      </c>
      <c r="S901" s="3">
        <v>92.58</v>
      </c>
      <c r="T901" s="3">
        <v>370.32</v>
      </c>
      <c r="U901" s="3">
        <v>222.96000000000009</v>
      </c>
      <c r="V901" s="5">
        <v>0.37580906148867327</v>
      </c>
      <c r="W901">
        <v>4</v>
      </c>
      <c r="X901" t="s">
        <v>37</v>
      </c>
      <c r="Y901" s="6">
        <v>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8"/>
  <sheetViews>
    <sheetView showGridLines="0" workbookViewId="0"/>
  </sheetViews>
  <sheetFormatPr defaultRowHeight="13.8"/>
  <cols>
    <col min="1" max="18" width="17" customWidth="1"/>
  </cols>
  <sheetData>
    <row r="1" spans="1:18" ht="27.6">
      <c r="A1" s="8" t="s">
        <v>4</v>
      </c>
      <c r="B1" s="8" t="s">
        <v>17</v>
      </c>
      <c r="C1" s="8" t="s">
        <v>20</v>
      </c>
      <c r="D1" s="8"/>
      <c r="E1" s="8" t="s">
        <v>5</v>
      </c>
      <c r="F1" s="8" t="s">
        <v>17</v>
      </c>
      <c r="G1" s="8" t="s">
        <v>20</v>
      </c>
      <c r="H1" s="8"/>
      <c r="I1" s="8" t="s">
        <v>10</v>
      </c>
      <c r="J1" s="8" t="s">
        <v>20</v>
      </c>
      <c r="K1" s="8"/>
      <c r="L1" s="8" t="s">
        <v>8</v>
      </c>
      <c r="M1" s="8" t="s">
        <v>57</v>
      </c>
      <c r="N1" s="8" t="s">
        <v>36</v>
      </c>
      <c r="O1" s="8" t="s">
        <v>44</v>
      </c>
      <c r="P1" s="8"/>
      <c r="Q1" s="8" t="s">
        <v>16</v>
      </c>
      <c r="R1" s="8" t="s">
        <v>1298</v>
      </c>
    </row>
    <row r="2" spans="1:18">
      <c r="A2" s="7" t="s">
        <v>1299</v>
      </c>
      <c r="B2" s="9">
        <f>SUMIFS('Sales Data'!$R$2:$R$901,'Sales Data'!$C$2:$C$901,2023,'Sales Data'!$E$2:$E$901,"Jan")</f>
        <v>15391.878499999999</v>
      </c>
      <c r="C2" s="9">
        <f>SUMIFS('Sales Data'!$U$2:$U$901,'Sales Data'!$C$2:$C$901,2023,'Sales Data'!$E$2:$E$901,"Jan")</f>
        <v>6660.218499999999</v>
      </c>
      <c r="D2" s="7"/>
      <c r="E2" s="7" t="s">
        <v>65</v>
      </c>
      <c r="F2" s="9">
        <f>SUMIFS('Sales Data'!$R$2:$R$901,'Sales Data'!$F$2:$F$901,E2)</f>
        <v>203805.49049999993</v>
      </c>
      <c r="G2" s="9">
        <f>SUMIFS('Sales Data'!$U$2:$U$901,'Sales Data'!$F$2:$F$901,E2)</f>
        <v>73878.320500000002</v>
      </c>
      <c r="H2" s="7"/>
      <c r="I2" s="7" t="s">
        <v>33</v>
      </c>
      <c r="J2" s="9">
        <f>SUMIFS('Sales Data'!$U$2:$U$901,'Sales Data'!$K$2:$K$901,I2)</f>
        <v>122941.93550000009</v>
      </c>
      <c r="K2" s="7"/>
      <c r="L2" s="7" t="s">
        <v>31</v>
      </c>
      <c r="M2" s="9">
        <f>SUMIFS('Sales Data'!$R$2:$R$901,'Sales Data'!$I$2:$I$901,L2,'Sales Data'!$N$2:$N$901,M$1)</f>
        <v>53217.519499999988</v>
      </c>
      <c r="N2" s="9">
        <f>SUMIFS('Sales Data'!$R$2:$R$901,'Sales Data'!$I$2:$I$901,L2,'Sales Data'!$N$2:$N$901,N$1)</f>
        <v>64321.51650000002</v>
      </c>
      <c r="O2" s="9">
        <f>SUMIFS('Sales Data'!$R$2:$R$901,'Sales Data'!$I$2:$I$901,L2,'Sales Data'!$N$2:$N$901,O$1)</f>
        <v>83439.695999999982</v>
      </c>
      <c r="P2" s="7"/>
      <c r="Q2" s="10">
        <v>0</v>
      </c>
      <c r="R2" s="11">
        <f>AVERAGEIFS('Sales Data'!$V$2:$V$901,'Sales Data'!$Q$2:$Q$901,Q2)</f>
        <v>0.48306793128008979</v>
      </c>
    </row>
    <row r="3" spans="1:18">
      <c r="A3" s="7" t="s">
        <v>1300</v>
      </c>
      <c r="B3" s="9">
        <f>SUMIFS('Sales Data'!$R$2:$R$901,'Sales Data'!$C$2:$C$901,2023,'Sales Data'!$E$2:$E$901,"Feb")</f>
        <v>16976.192999999999</v>
      </c>
      <c r="C3" s="9">
        <f>SUMIFS('Sales Data'!$U$2:$U$901,'Sales Data'!$C$2:$C$901,2023,'Sales Data'!$E$2:$E$901,"Feb")</f>
        <v>6323.7530000000006</v>
      </c>
      <c r="D3" s="7"/>
      <c r="E3" s="7" t="s">
        <v>51</v>
      </c>
      <c r="F3" s="9">
        <f>SUMIFS('Sales Data'!$R$2:$R$901,'Sales Data'!$F$2:$F$901,E3)</f>
        <v>200478.74700000009</v>
      </c>
      <c r="G3" s="9">
        <f>SUMIFS('Sales Data'!$U$2:$U$901,'Sales Data'!$F$2:$F$901,E3)</f>
        <v>70651.937000000034</v>
      </c>
      <c r="H3" s="7"/>
      <c r="I3" s="7" t="s">
        <v>47</v>
      </c>
      <c r="J3" s="9">
        <f>SUMIFS('Sales Data'!$U$2:$U$901,'Sales Data'!$K$2:$K$901,I3)</f>
        <v>29357.148499999999</v>
      </c>
      <c r="K3" s="7"/>
      <c r="L3" s="7" t="s">
        <v>42</v>
      </c>
      <c r="M3" s="9">
        <f>SUMIFS('Sales Data'!$R$2:$R$901,'Sales Data'!$I$2:$I$901,L3,'Sales Data'!$N$2:$N$901,M$1)</f>
        <v>74026.380999999994</v>
      </c>
      <c r="N3" s="9">
        <f>SUMIFS('Sales Data'!$R$2:$R$901,'Sales Data'!$I$2:$I$901,L3,'Sales Data'!$N$2:$N$901,N$1)</f>
        <v>67080.058499999985</v>
      </c>
      <c r="O3" s="9">
        <f>SUMIFS('Sales Data'!$R$2:$R$901,'Sales Data'!$I$2:$I$901,L3,'Sales Data'!$N$2:$N$901,O$1)</f>
        <v>88659.249000000011</v>
      </c>
      <c r="P3" s="7"/>
      <c r="Q3" s="10">
        <v>0.05</v>
      </c>
      <c r="R3" s="11">
        <f>AVERAGEIFS('Sales Data'!$V$2:$V$901,'Sales Data'!$Q$2:$Q$901,Q3)</f>
        <v>0.45996459957446112</v>
      </c>
    </row>
    <row r="4" spans="1:18">
      <c r="A4" s="7" t="s">
        <v>1301</v>
      </c>
      <c r="B4" s="9">
        <f>SUMIFS('Sales Data'!$R$2:$R$901,'Sales Data'!$C$2:$C$901,2023,'Sales Data'!$E$2:$E$901,"Mar")</f>
        <v>28738.530500000004</v>
      </c>
      <c r="C4" s="9">
        <f>SUMIFS('Sales Data'!$U$2:$U$901,'Sales Data'!$C$2:$C$901,2023,'Sales Data'!$E$2:$E$901,"Mar")</f>
        <v>10349.640500000003</v>
      </c>
      <c r="D4" s="7"/>
      <c r="E4" s="7" t="s">
        <v>39</v>
      </c>
      <c r="F4" s="9">
        <f>SUMIFS('Sales Data'!$R$2:$R$901,'Sales Data'!$F$2:$F$901,E4)</f>
        <v>205166.5040000001</v>
      </c>
      <c r="G4" s="9">
        <f>SUMIFS('Sales Data'!$U$2:$U$901,'Sales Data'!$F$2:$F$901,E4)</f>
        <v>69896.75400000003</v>
      </c>
      <c r="H4" s="7"/>
      <c r="I4" s="7" t="s">
        <v>61</v>
      </c>
      <c r="J4" s="9">
        <f>SUMIFS('Sales Data'!$U$2:$U$901,'Sales Data'!$K$2:$K$901,I4)</f>
        <v>148943.66899999999</v>
      </c>
      <c r="K4" s="7"/>
      <c r="L4" s="7" t="s">
        <v>71</v>
      </c>
      <c r="M4" s="9">
        <f>SUMIFS('Sales Data'!$R$2:$R$901,'Sales Data'!$I$2:$I$901,L4,'Sales Data'!$N$2:$N$901,M$1)</f>
        <v>72214.196500000005</v>
      </c>
      <c r="N4" s="9">
        <f>SUMIFS('Sales Data'!$R$2:$R$901,'Sales Data'!$I$2:$I$901,L4,'Sales Data'!$N$2:$N$901,N$1)</f>
        <v>64054.994999999981</v>
      </c>
      <c r="O4" s="9">
        <f>SUMIFS('Sales Data'!$R$2:$R$901,'Sales Data'!$I$2:$I$901,L4,'Sales Data'!$N$2:$N$901,O$1)</f>
        <v>95126.046499999997</v>
      </c>
      <c r="P4" s="7"/>
      <c r="Q4" s="10">
        <v>0.1</v>
      </c>
      <c r="R4" s="11">
        <f>AVERAGEIFS('Sales Data'!$V$2:$V$901,'Sales Data'!$Q$2:$Q$901,Q4)</f>
        <v>0.41163812996775245</v>
      </c>
    </row>
    <row r="5" spans="1:18">
      <c r="A5" s="7" t="s">
        <v>1302</v>
      </c>
      <c r="B5" s="9">
        <f>SUMIFS('Sales Data'!$R$2:$R$901,'Sales Data'!$C$2:$C$901,2023,'Sales Data'!$E$2:$E$901,"Apr")</f>
        <v>35944.584999999999</v>
      </c>
      <c r="C5" s="9">
        <f>SUMIFS('Sales Data'!$U$2:$U$901,'Sales Data'!$C$2:$C$901,2023,'Sales Data'!$E$2:$E$901,"Apr")</f>
        <v>11496.324999999997</v>
      </c>
      <c r="D5" s="7"/>
      <c r="E5" s="7" t="s">
        <v>28</v>
      </c>
      <c r="F5" s="9">
        <f>SUMIFS('Sales Data'!$R$2:$R$901,'Sales Data'!$F$2:$F$901,E5)</f>
        <v>244126.64150000014</v>
      </c>
      <c r="G5" s="9">
        <f>SUMIFS('Sales Data'!$U$2:$U$901,'Sales Data'!$F$2:$F$901,E5)</f>
        <v>86815.741500000018</v>
      </c>
      <c r="H5" s="7"/>
      <c r="I5" s="7"/>
      <c r="J5" s="7"/>
      <c r="K5" s="7"/>
      <c r="L5" s="7" t="s">
        <v>78</v>
      </c>
      <c r="M5" s="9">
        <f>SUMIFS('Sales Data'!$R$2:$R$901,'Sales Data'!$I$2:$I$901,L5,'Sales Data'!$N$2:$N$901,M$1)</f>
        <v>49163.521999999997</v>
      </c>
      <c r="N5" s="9">
        <f>SUMIFS('Sales Data'!$R$2:$R$901,'Sales Data'!$I$2:$I$901,L5,'Sales Data'!$N$2:$N$901,N$1)</f>
        <v>83042.560999999987</v>
      </c>
      <c r="O5" s="9">
        <f>SUMIFS('Sales Data'!$R$2:$R$901,'Sales Data'!$I$2:$I$901,L5,'Sales Data'!$N$2:$N$901,O$1)</f>
        <v>59231.641499999969</v>
      </c>
      <c r="P5" s="7"/>
      <c r="Q5" s="10">
        <v>0.15</v>
      </c>
      <c r="R5" s="11">
        <f>AVERAGEIFS('Sales Data'!$V$2:$V$901,'Sales Data'!$Q$2:$Q$901,Q5)</f>
        <v>0.39709250701058457</v>
      </c>
    </row>
    <row r="6" spans="1:18">
      <c r="A6" s="7" t="s">
        <v>1303</v>
      </c>
      <c r="B6" s="9">
        <f>SUMIFS('Sales Data'!$R$2:$R$901,'Sales Data'!$C$2:$C$901,2023,'Sales Data'!$E$2:$E$901,"May")</f>
        <v>28861.899999999998</v>
      </c>
      <c r="C6" s="9">
        <f>SUMIFS('Sales Data'!$U$2:$U$901,'Sales Data'!$C$2:$C$901,2023,'Sales Data'!$E$2:$E$901,"May")</f>
        <v>10802.03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10">
        <v>0.2</v>
      </c>
      <c r="R6" s="11">
        <f>AVERAGEIFS('Sales Data'!$V$2:$V$901,'Sales Data'!$Q$2:$Q$901,Q6)</f>
        <v>0.34135279868332774</v>
      </c>
    </row>
    <row r="7" spans="1:18">
      <c r="A7" s="7" t="s">
        <v>1304</v>
      </c>
      <c r="B7" s="9">
        <f>SUMIFS('Sales Data'!$R$2:$R$901,'Sales Data'!$C$2:$C$901,2023,'Sales Data'!$E$2:$E$901,"Jun")</f>
        <v>17420.153499999997</v>
      </c>
      <c r="C7" s="9">
        <f>SUMIFS('Sales Data'!$U$2:$U$901,'Sales Data'!$C$2:$C$901,2023,'Sales Data'!$E$2:$E$901,"Jun")</f>
        <v>5585.1035000000011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>
      <c r="A8" s="7" t="s">
        <v>1305</v>
      </c>
      <c r="B8" s="9">
        <f>SUMIFS('Sales Data'!$R$2:$R$901,'Sales Data'!$C$2:$C$901,2023,'Sales Data'!$E$2:$E$901,"Jul")</f>
        <v>23319.716500000002</v>
      </c>
      <c r="C8" s="9">
        <f>SUMIFS('Sales Data'!$U$2:$U$901,'Sales Data'!$C$2:$C$901,2023,'Sales Data'!$E$2:$E$901,"Jul")</f>
        <v>8809.8164999999972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>
      <c r="A9" s="7" t="s">
        <v>1306</v>
      </c>
      <c r="B9" s="9">
        <f>SUMIFS('Sales Data'!$R$2:$R$901,'Sales Data'!$C$2:$C$901,2023,'Sales Data'!$E$2:$E$901,"Aug")</f>
        <v>25687.531499999997</v>
      </c>
      <c r="C9" s="9">
        <f>SUMIFS('Sales Data'!$U$2:$U$901,'Sales Data'!$C$2:$C$901,2023,'Sales Data'!$E$2:$E$901,"Aug")</f>
        <v>9806.3015000000014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>
      <c r="A10" s="7" t="s">
        <v>1307</v>
      </c>
      <c r="B10" s="9">
        <f>SUMIFS('Sales Data'!$R$2:$R$901,'Sales Data'!$C$2:$C$901,2023,'Sales Data'!$E$2:$E$901,"Sep")</f>
        <v>15284.632000000005</v>
      </c>
      <c r="C10" s="9">
        <f>SUMIFS('Sales Data'!$U$2:$U$901,'Sales Data'!$C$2:$C$901,2023,'Sales Data'!$E$2:$E$901,"Sep")</f>
        <v>4515.1720000000023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>
      <c r="A11" s="7" t="s">
        <v>1308</v>
      </c>
      <c r="B11" s="9">
        <f>SUMIFS('Sales Data'!$R$2:$R$901,'Sales Data'!$C$2:$C$901,2023,'Sales Data'!$E$2:$E$901,"Oct")</f>
        <v>25639.754000000001</v>
      </c>
      <c r="C11" s="9">
        <f>SUMIFS('Sales Data'!$U$2:$U$901,'Sales Data'!$C$2:$C$901,2023,'Sales Data'!$E$2:$E$901,"Oct")</f>
        <v>8337.6740000000009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>
      <c r="A12" s="7" t="s">
        <v>1309</v>
      </c>
      <c r="B12" s="9">
        <f>SUMIFS('Sales Data'!$R$2:$R$901,'Sales Data'!$C$2:$C$901,2023,'Sales Data'!$E$2:$E$901,"Nov")</f>
        <v>19838.03</v>
      </c>
      <c r="C12" s="9">
        <f>SUMIFS('Sales Data'!$U$2:$U$901,'Sales Data'!$C$2:$C$901,2023,'Sales Data'!$E$2:$E$901,"Nov")</f>
        <v>6909.2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>
      <c r="A13" s="7" t="s">
        <v>1310</v>
      </c>
      <c r="B13" s="9">
        <f>SUMIFS('Sales Data'!$R$2:$R$901,'Sales Data'!$C$2:$C$901,2023,'Sales Data'!$E$2:$E$901,"Dec")</f>
        <v>25475.787999999993</v>
      </c>
      <c r="C13" s="9">
        <f>SUMIFS('Sales Data'!$U$2:$U$901,'Sales Data'!$C$2:$C$901,2023,'Sales Data'!$E$2:$E$901,"Dec")</f>
        <v>9338.9979999999978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>
      <c r="A14" s="7" t="s">
        <v>1311</v>
      </c>
      <c r="B14" s="9">
        <f>SUMIFS('Sales Data'!$R$2:$R$901,'Sales Data'!$C$2:$C$901,2024,'Sales Data'!$E$2:$E$901,"Jan")</f>
        <v>15888.6325</v>
      </c>
      <c r="C14" s="9">
        <f>SUMIFS('Sales Data'!$U$2:$U$901,'Sales Data'!$C$2:$C$901,2024,'Sales Data'!$E$2:$E$901,"Jan")</f>
        <v>5929.9324999999999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>
      <c r="A15" s="7" t="s">
        <v>1312</v>
      </c>
      <c r="B15" s="9">
        <f>SUMIFS('Sales Data'!$R$2:$R$901,'Sales Data'!$C$2:$C$901,2024,'Sales Data'!$E$2:$E$901,"Feb")</f>
        <v>29692.057000000008</v>
      </c>
      <c r="C15" s="9">
        <f>SUMIFS('Sales Data'!$U$2:$U$901,'Sales Data'!$C$2:$C$901,2024,'Sales Data'!$E$2:$E$901,"Feb")</f>
        <v>10941.867000000002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>
      <c r="A16" s="7" t="s">
        <v>1313</v>
      </c>
      <c r="B16" s="9">
        <f>SUMIFS('Sales Data'!$R$2:$R$901,'Sales Data'!$C$2:$C$901,2024,'Sales Data'!$E$2:$E$901,"Mar")</f>
        <v>22881.110000000004</v>
      </c>
      <c r="C16" s="9">
        <f>SUMIFS('Sales Data'!$U$2:$U$901,'Sales Data'!$C$2:$C$901,2024,'Sales Data'!$E$2:$E$901,"Mar")</f>
        <v>8179.9000000000015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>
      <c r="A17" s="7" t="s">
        <v>1314</v>
      </c>
      <c r="B17" s="9">
        <f>SUMIFS('Sales Data'!$R$2:$R$901,'Sales Data'!$C$2:$C$901,2024,'Sales Data'!$E$2:$E$901,"Apr")</f>
        <v>31226.885499999997</v>
      </c>
      <c r="C17" s="9">
        <f>SUMIFS('Sales Data'!$U$2:$U$901,'Sales Data'!$C$2:$C$901,2024,'Sales Data'!$E$2:$E$901,"Apr")</f>
        <v>11226.285500000002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>
      <c r="A18" s="7" t="s">
        <v>1315</v>
      </c>
      <c r="B18" s="9">
        <f>SUMIFS('Sales Data'!$R$2:$R$901,'Sales Data'!$C$2:$C$901,2024,'Sales Data'!$E$2:$E$901,"May")</f>
        <v>25167.578999999998</v>
      </c>
      <c r="C18" s="9">
        <f>SUMIFS('Sales Data'!$U$2:$U$901,'Sales Data'!$C$2:$C$901,2024,'Sales Data'!$E$2:$E$901,"May")</f>
        <v>8363.3289999999997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>
      <c r="A19" s="7" t="s">
        <v>1316</v>
      </c>
      <c r="B19" s="9">
        <f>SUMIFS('Sales Data'!$R$2:$R$901,'Sales Data'!$C$2:$C$901,2024,'Sales Data'!$E$2:$E$901,"Jun")</f>
        <v>19511.297500000004</v>
      </c>
      <c r="C19" s="9">
        <f>SUMIFS('Sales Data'!$U$2:$U$901,'Sales Data'!$C$2:$C$901,2024,'Sales Data'!$E$2:$E$901,"Jun")</f>
        <v>6293.887499999998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>
      <c r="A20" s="7" t="s">
        <v>1317</v>
      </c>
      <c r="B20" s="9">
        <f>SUMIFS('Sales Data'!$R$2:$R$901,'Sales Data'!$C$2:$C$901,2024,'Sales Data'!$E$2:$E$901,"Jul")</f>
        <v>30417.730499999994</v>
      </c>
      <c r="C20" s="9">
        <f>SUMIFS('Sales Data'!$U$2:$U$901,'Sales Data'!$C$2:$C$901,2024,'Sales Data'!$E$2:$E$901,"Jul")</f>
        <v>11042.3905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>
      <c r="A21" s="7" t="s">
        <v>1318</v>
      </c>
      <c r="B21" s="9">
        <f>SUMIFS('Sales Data'!$R$2:$R$901,'Sales Data'!$C$2:$C$901,2024,'Sales Data'!$E$2:$E$901,"Aug")</f>
        <v>12866.387499999999</v>
      </c>
      <c r="C21" s="9">
        <f>SUMIFS('Sales Data'!$U$2:$U$901,'Sales Data'!$C$2:$C$901,2024,'Sales Data'!$E$2:$E$901,"Aug")</f>
        <v>5078.3874999999989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>
      <c r="A22" s="7" t="s">
        <v>1319</v>
      </c>
      <c r="B22" s="9">
        <f>SUMIFS('Sales Data'!$R$2:$R$901,'Sales Data'!$C$2:$C$901,2024,'Sales Data'!$E$2:$E$901,"Sep")</f>
        <v>25614.764500000001</v>
      </c>
      <c r="C22" s="9">
        <f>SUMIFS('Sales Data'!$U$2:$U$901,'Sales Data'!$C$2:$C$901,2024,'Sales Data'!$E$2:$E$901,"Sep")</f>
        <v>8741.7145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>
      <c r="A23" s="7" t="s">
        <v>1320</v>
      </c>
      <c r="B23" s="9">
        <f>SUMIFS('Sales Data'!$R$2:$R$901,'Sales Data'!$C$2:$C$901,2024,'Sales Data'!$E$2:$E$901,"Oct")</f>
        <v>27494.143499999995</v>
      </c>
      <c r="C23" s="9">
        <f>SUMIFS('Sales Data'!$U$2:$U$901,'Sales Data'!$C$2:$C$901,2024,'Sales Data'!$E$2:$E$901,"Oct")</f>
        <v>9855.8535000000011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>
      <c r="A24" s="7" t="s">
        <v>1321</v>
      </c>
      <c r="B24" s="9">
        <f>SUMIFS('Sales Data'!$R$2:$R$901,'Sales Data'!$C$2:$C$901,2024,'Sales Data'!$E$2:$E$901,"Nov")</f>
        <v>21966.849500000004</v>
      </c>
      <c r="C24" s="9">
        <f>SUMIFS('Sales Data'!$U$2:$U$901,'Sales Data'!$C$2:$C$901,2024,'Sales Data'!$E$2:$E$901,"Nov")</f>
        <v>8028.139500000002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>
      <c r="A25" s="7" t="s">
        <v>1322</v>
      </c>
      <c r="B25" s="9">
        <f>SUMIFS('Sales Data'!$R$2:$R$901,'Sales Data'!$C$2:$C$901,2024,'Sales Data'!$E$2:$E$901,"Dec")</f>
        <v>18430.1685</v>
      </c>
      <c r="C25" s="9">
        <f>SUMIFS('Sales Data'!$U$2:$U$901,'Sales Data'!$C$2:$C$901,2024,'Sales Data'!$E$2:$E$901,"Dec")</f>
        <v>6324.0185000000001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>
      <c r="A26" s="7" t="s">
        <v>1323</v>
      </c>
      <c r="B26" s="9">
        <f>SUMIFS('Sales Data'!$R$2:$R$901,'Sales Data'!$C$2:$C$901,2025,'Sales Data'!$E$2:$E$901,"Jan")</f>
        <v>17248.6875</v>
      </c>
      <c r="C26" s="9">
        <f>SUMIFS('Sales Data'!$U$2:$U$901,'Sales Data'!$C$2:$C$901,2025,'Sales Data'!$E$2:$E$901,"Jan")</f>
        <v>6840.6174999999994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>
      <c r="A27" s="7" t="s">
        <v>1324</v>
      </c>
      <c r="B27" s="9">
        <f>SUMIFS('Sales Data'!$R$2:$R$901,'Sales Data'!$C$2:$C$901,2025,'Sales Data'!$E$2:$E$901,"Feb")</f>
        <v>29434.287500000002</v>
      </c>
      <c r="C27" s="9">
        <f>SUMIFS('Sales Data'!$U$2:$U$901,'Sales Data'!$C$2:$C$901,2025,'Sales Data'!$E$2:$E$901,"Feb")</f>
        <v>11057.977500000001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>
      <c r="A28" s="7" t="s">
        <v>1325</v>
      </c>
      <c r="B28" s="9">
        <f>SUMIFS('Sales Data'!$R$2:$R$901,'Sales Data'!$C$2:$C$901,2025,'Sales Data'!$E$2:$E$901,"Mar")</f>
        <v>30365.58349999999</v>
      </c>
      <c r="C28" s="9">
        <f>SUMIFS('Sales Data'!$U$2:$U$901,'Sales Data'!$C$2:$C$901,2025,'Sales Data'!$E$2:$E$901,"Mar")</f>
        <v>10274.0535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>
      <c r="A29" s="7" t="s">
        <v>1326</v>
      </c>
      <c r="B29" s="9">
        <f>SUMIFS('Sales Data'!$R$2:$R$901,'Sales Data'!$C$2:$C$901,2025,'Sales Data'!$E$2:$E$901,"Apr")</f>
        <v>19230.32</v>
      </c>
      <c r="C29" s="9">
        <f>SUMIFS('Sales Data'!$U$2:$U$901,'Sales Data'!$C$2:$C$901,2025,'Sales Data'!$E$2:$E$901,"Apr")</f>
        <v>6684.7100000000009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>
      <c r="A30" s="7" t="s">
        <v>1327</v>
      </c>
      <c r="B30" s="9">
        <f>SUMIFS('Sales Data'!$R$2:$R$901,'Sales Data'!$C$2:$C$901,2025,'Sales Data'!$E$2:$E$901,"May")</f>
        <v>36318.748499999994</v>
      </c>
      <c r="C30" s="9">
        <f>SUMIFS('Sales Data'!$U$2:$U$901,'Sales Data'!$C$2:$C$901,2025,'Sales Data'!$E$2:$E$901,"May")</f>
        <v>11009.558500000001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>
      <c r="A31" s="7" t="s">
        <v>1328</v>
      </c>
      <c r="B31" s="9">
        <f>SUMIFS('Sales Data'!$R$2:$R$901,'Sales Data'!$C$2:$C$901,2025,'Sales Data'!$E$2:$E$901,"Jun")</f>
        <v>32179.746000000006</v>
      </c>
      <c r="C31" s="9">
        <f>SUMIFS('Sales Data'!$U$2:$U$901,'Sales Data'!$C$2:$C$901,2025,'Sales Data'!$E$2:$E$901,"Jun")</f>
        <v>10151.505999999999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>
      <c r="A32" s="7" t="s">
        <v>1329</v>
      </c>
      <c r="B32" s="9">
        <f>SUMIFS('Sales Data'!$R$2:$R$901,'Sales Data'!$C$2:$C$901,2025,'Sales Data'!$E$2:$E$901,"Jul")</f>
        <v>8927.7439999999988</v>
      </c>
      <c r="C32" s="9">
        <f>SUMIFS('Sales Data'!$U$2:$U$901,'Sales Data'!$C$2:$C$901,2025,'Sales Data'!$E$2:$E$901,"Jul")</f>
        <v>3718.9239999999995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  <row r="33" spans="1:18">
      <c r="A33" s="7" t="s">
        <v>1330</v>
      </c>
      <c r="B33" s="9">
        <f>SUMIFS('Sales Data'!$R$2:$R$901,'Sales Data'!$C$2:$C$901,2025,'Sales Data'!$E$2:$E$901,"Aug")</f>
        <v>14292.633000000002</v>
      </c>
      <c r="C33" s="9">
        <f>SUMIFS('Sales Data'!$U$2:$U$901,'Sales Data'!$C$2:$C$901,2025,'Sales Data'!$E$2:$E$901,"Aug")</f>
        <v>6021.5429999999978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1:18">
      <c r="A34" s="7" t="s">
        <v>1331</v>
      </c>
      <c r="B34" s="9">
        <f>SUMIFS('Sales Data'!$R$2:$R$901,'Sales Data'!$C$2:$C$901,2025,'Sales Data'!$E$2:$E$901,"Sep")</f>
        <v>32035.596000000005</v>
      </c>
      <c r="C34" s="9">
        <f>SUMIFS('Sales Data'!$U$2:$U$901,'Sales Data'!$C$2:$C$901,2025,'Sales Data'!$E$2:$E$901,"Sep")</f>
        <v>11137.686000000002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1:18">
      <c r="A35" s="7" t="s">
        <v>1332</v>
      </c>
      <c r="B35" s="9">
        <f>SUMIFS('Sales Data'!$R$2:$R$901,'Sales Data'!$C$2:$C$901,2025,'Sales Data'!$E$2:$E$901,"Oct")</f>
        <v>24927.151999999998</v>
      </c>
      <c r="C35" s="9">
        <f>SUMIFS('Sales Data'!$U$2:$U$901,'Sales Data'!$C$2:$C$901,2025,'Sales Data'!$E$2:$E$901,"Oct")</f>
        <v>8011.0120000000015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</row>
    <row r="36" spans="1:18">
      <c r="A36" s="7" t="s">
        <v>1333</v>
      </c>
      <c r="B36" s="9">
        <f>SUMIFS('Sales Data'!$R$2:$R$901,'Sales Data'!$C$2:$C$901,2025,'Sales Data'!$E$2:$E$901,"Nov")</f>
        <v>23665.459500000001</v>
      </c>
      <c r="C36" s="9">
        <f>SUMIFS('Sales Data'!$U$2:$U$901,'Sales Data'!$C$2:$C$901,2025,'Sales Data'!$E$2:$E$901,"Nov")</f>
        <v>8582.709499999999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</row>
    <row r="37" spans="1:18">
      <c r="A37" s="7" t="s">
        <v>1334</v>
      </c>
      <c r="B37" s="9">
        <f>SUMIFS('Sales Data'!$R$2:$R$901,'Sales Data'!$C$2:$C$901,2025,'Sales Data'!$E$2:$E$901,"Dec")</f>
        <v>25215.127499999999</v>
      </c>
      <c r="C37" s="9">
        <f>SUMIFS('Sales Data'!$U$2:$U$901,'Sales Data'!$C$2:$C$901,2025,'Sales Data'!$E$2:$E$901,"Dec")</f>
        <v>8812.5175000000017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</row>
    <row r="38" spans="1:18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2"/>
  <sheetViews>
    <sheetView workbookViewId="0"/>
  </sheetViews>
  <sheetFormatPr defaultRowHeight="13.8"/>
  <cols>
    <col min="1" max="18" width="10" customWidth="1"/>
  </cols>
  <sheetData>
    <row r="1" spans="1:18" ht="37.950000000000003" customHeight="1">
      <c r="A1" s="13"/>
      <c r="B1" s="13" t="s">
        <v>1335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ht="15.6">
      <c r="A3" s="12"/>
      <c r="B3" s="14" t="s">
        <v>1336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>
      <c r="A4" s="12"/>
      <c r="B4" s="15" t="s">
        <v>1337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>
      <c r="A5" s="12"/>
      <c r="B5" s="16" t="s">
        <v>1338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2"/>
  <sheetViews>
    <sheetView workbookViewId="0"/>
  </sheetViews>
  <sheetFormatPr defaultRowHeight="13.8"/>
  <cols>
    <col min="1" max="18" width="10" customWidth="1"/>
  </cols>
  <sheetData>
    <row r="1" spans="1:18" ht="37.950000000000003" customHeight="1">
      <c r="A1" s="13"/>
      <c r="B1" s="13" t="s">
        <v>1339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ht="15.6">
      <c r="A3" s="12"/>
      <c r="B3" s="14" t="s">
        <v>1340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>
      <c r="A4" s="12"/>
      <c r="B4" s="15" t="s">
        <v>1341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>
      <c r="A5" s="12"/>
      <c r="B5" s="16" t="s">
        <v>1342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32"/>
  <sheetViews>
    <sheetView workbookViewId="0"/>
  </sheetViews>
  <sheetFormatPr defaultRowHeight="13.8"/>
  <cols>
    <col min="1" max="18" width="10" customWidth="1"/>
  </cols>
  <sheetData>
    <row r="1" spans="1:18" ht="37.950000000000003" customHeight="1">
      <c r="A1" s="13"/>
      <c r="B1" s="13" t="s">
        <v>1343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ht="15.6">
      <c r="A3" s="12"/>
      <c r="B3" s="14" t="s">
        <v>1344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>
      <c r="A4" s="12"/>
      <c r="B4" s="15" t="s">
        <v>1345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>
      <c r="A5" s="12"/>
      <c r="B5" s="16" t="s">
        <v>1346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32"/>
  <sheetViews>
    <sheetView workbookViewId="0"/>
  </sheetViews>
  <sheetFormatPr defaultRowHeight="13.8"/>
  <cols>
    <col min="1" max="18" width="10" customWidth="1"/>
  </cols>
  <sheetData>
    <row r="1" spans="1:18" ht="37.950000000000003" customHeight="1">
      <c r="A1" s="13"/>
      <c r="B1" s="13" t="s">
        <v>1347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ht="15.6">
      <c r="A3" s="12"/>
      <c r="B3" s="14" t="s">
        <v>1348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>
      <c r="A4" s="12"/>
      <c r="B4" s="15" t="s">
        <v>1349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>
      <c r="A5" s="12"/>
      <c r="B5" s="16" t="s">
        <v>1350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32"/>
  <sheetViews>
    <sheetView workbookViewId="0"/>
  </sheetViews>
  <sheetFormatPr defaultRowHeight="13.8"/>
  <cols>
    <col min="1" max="18" width="10" customWidth="1"/>
  </cols>
  <sheetData>
    <row r="1" spans="1:18" ht="37.950000000000003" customHeight="1">
      <c r="A1" s="13"/>
      <c r="B1" s="13" t="s">
        <v>1351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ht="15.6">
      <c r="A3" s="12"/>
      <c r="B3" s="14" t="s">
        <v>1352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>
      <c r="A4" s="12"/>
      <c r="B4" s="15" t="s">
        <v>1353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>
      <c r="A5" s="12"/>
      <c r="B5" s="16" t="s">
        <v>1354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S61"/>
  <sheetViews>
    <sheetView showGridLines="0" tabSelected="1" zoomScale="34" workbookViewId="0">
      <selection activeCell="X37" sqref="X37"/>
    </sheetView>
  </sheetViews>
  <sheetFormatPr defaultRowHeight="13.8"/>
  <cols>
    <col min="1" max="19" width="10" customWidth="1"/>
  </cols>
  <sheetData>
    <row r="1" spans="1:19" ht="37.950000000000003" customHeight="1">
      <c r="A1" s="17"/>
      <c r="B1" s="17"/>
      <c r="C1" s="17"/>
      <c r="D1" s="17"/>
      <c r="E1" s="17"/>
      <c r="F1" s="17"/>
      <c r="G1" s="17"/>
      <c r="H1" s="17"/>
      <c r="I1" s="17"/>
      <c r="J1" s="17" t="s">
        <v>1355</v>
      </c>
      <c r="K1" s="17"/>
      <c r="L1" s="17"/>
      <c r="M1" s="17"/>
      <c r="N1" s="17"/>
      <c r="O1" s="17"/>
      <c r="P1" s="17"/>
      <c r="Q1" s="17"/>
      <c r="R1" s="17"/>
      <c r="S1" s="17"/>
    </row>
    <row r="2" spans="1:19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1:19">
      <c r="A3" s="18" t="s">
        <v>1356</v>
      </c>
      <c r="B3" s="18"/>
      <c r="C3" s="18"/>
      <c r="D3" s="18"/>
      <c r="E3" s="12"/>
      <c r="F3" s="18" t="s">
        <v>1357</v>
      </c>
      <c r="G3" s="18"/>
      <c r="H3" s="18"/>
      <c r="I3" s="18"/>
      <c r="J3" s="12"/>
      <c r="K3" s="18" t="s">
        <v>1358</v>
      </c>
      <c r="L3" s="18"/>
      <c r="M3" s="18"/>
      <c r="N3" s="18"/>
      <c r="O3" s="12"/>
      <c r="P3" s="18" t="s">
        <v>1359</v>
      </c>
      <c r="Q3" s="18"/>
      <c r="R3" s="18"/>
      <c r="S3" s="18"/>
    </row>
    <row r="4" spans="1:19" ht="22.8">
      <c r="A4" s="25"/>
      <c r="B4" s="20"/>
      <c r="C4" s="20"/>
      <c r="D4" s="21"/>
      <c r="E4" s="12"/>
      <c r="F4" s="25"/>
      <c r="G4" s="20"/>
      <c r="H4" s="20"/>
      <c r="I4" s="21"/>
      <c r="J4" s="12"/>
      <c r="K4" s="26">
        <f>0.352917918163724</f>
        <v>0.35291791816372398</v>
      </c>
      <c r="L4" s="20"/>
      <c r="M4" s="20"/>
      <c r="N4" s="21"/>
      <c r="O4" s="12"/>
      <c r="P4" s="19">
        <f>900</f>
        <v>900</v>
      </c>
      <c r="Q4" s="20"/>
      <c r="R4" s="20"/>
      <c r="S4" s="21"/>
    </row>
    <row r="5" spans="1:19" ht="22.8">
      <c r="A5" s="22"/>
      <c r="B5" s="23"/>
      <c r="C5" s="23"/>
      <c r="D5" s="24"/>
      <c r="E5" s="12"/>
      <c r="F5" s="22"/>
      <c r="G5" s="23"/>
      <c r="H5" s="23"/>
      <c r="I5" s="24"/>
      <c r="J5" s="12"/>
      <c r="K5" s="22"/>
      <c r="L5" s="23"/>
      <c r="M5" s="23"/>
      <c r="N5" s="24"/>
      <c r="O5" s="12"/>
      <c r="P5" s="22"/>
      <c r="Q5" s="23"/>
      <c r="R5" s="23"/>
      <c r="S5" s="24"/>
    </row>
    <row r="6" spans="1:19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</row>
    <row r="7" spans="1:19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4.4">
      <c r="A23" s="27" t="s">
        <v>1360</v>
      </c>
      <c r="B23" s="12"/>
      <c r="C23" s="12"/>
      <c r="D23" s="12"/>
      <c r="E23" s="12"/>
      <c r="F23" s="12"/>
      <c r="G23" s="12"/>
      <c r="H23" s="12"/>
      <c r="I23" s="12"/>
      <c r="J23" s="12"/>
      <c r="K23" s="27" t="s">
        <v>1361</v>
      </c>
      <c r="L23" s="12"/>
      <c r="M23" s="12"/>
      <c r="N23" s="12"/>
      <c r="O23" s="12"/>
      <c r="P23" s="12"/>
      <c r="Q23" s="12"/>
      <c r="R23" s="12"/>
      <c r="S23" s="12"/>
    </row>
    <row r="24" spans="1:19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 ht="14.4">
      <c r="A42" s="27" t="s">
        <v>1362</v>
      </c>
      <c r="B42" s="12"/>
      <c r="C42" s="12"/>
      <c r="D42" s="12"/>
      <c r="E42" s="12"/>
      <c r="F42" s="12"/>
      <c r="G42" s="12"/>
      <c r="H42" s="12"/>
      <c r="I42" s="12"/>
      <c r="J42" s="12"/>
      <c r="K42" s="27" t="s">
        <v>1363</v>
      </c>
      <c r="L42" s="12"/>
      <c r="M42" s="12"/>
      <c r="N42" s="12"/>
      <c r="O42" s="12"/>
      <c r="P42" s="12"/>
      <c r="Q42" s="12"/>
      <c r="R42" s="12"/>
      <c r="S42" s="12"/>
    </row>
    <row r="43" spans="1:19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 ht="14.4">
      <c r="A60" s="12"/>
      <c r="B60" s="12"/>
      <c r="C60" s="12"/>
      <c r="D60" s="12"/>
      <c r="E60" s="27" t="s">
        <v>1364</v>
      </c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Sales Data</vt:lpstr>
      <vt:lpstr>Calculations</vt:lpstr>
      <vt:lpstr>Visual 1</vt:lpstr>
      <vt:lpstr>Visual 2</vt:lpstr>
      <vt:lpstr>Visual 3</vt:lpstr>
      <vt:lpstr>Visual 4</vt:lpstr>
      <vt:lpstr>Visual 5</vt:lpstr>
      <vt:lpstr>Main 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kritik dahal</dc:creator>
  <cp:lastModifiedBy>kritik dahal</cp:lastModifiedBy>
  <dcterms:created xsi:type="dcterms:W3CDTF">2026-09-08T07:00:36Z</dcterms:created>
  <dcterms:modified xsi:type="dcterms:W3CDTF">2026-09-08T07:00:36Z</dcterms:modified>
</cp:coreProperties>
</file>